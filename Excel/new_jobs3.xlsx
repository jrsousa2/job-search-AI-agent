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16" windowWidth="22716" windowHeight="8940"/>
  </bookViews>
  <sheets>
    <sheet name="Sheet1" sheetId="1" r:id="rId1"/>
  </sheets>
  <definedNames>
    <definedName name="_xlnm._FilterDatabase" localSheetId="0" hidden="1">Sheet1!$A$1:$M$127</definedName>
  </definedNames>
  <calcPr calcId="145621"/>
</workbook>
</file>

<file path=xl/calcChain.xml><?xml version="1.0" encoding="utf-8"?>
<calcChain xmlns="http://schemas.openxmlformats.org/spreadsheetml/2006/main">
  <c r="M3" i="1" l="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2" i="1" a="1"/>
  <c r="M2" i="1" s="1"/>
</calcChain>
</file>

<file path=xl/sharedStrings.xml><?xml version="1.0" encoding="utf-8"?>
<sst xmlns="http://schemas.openxmlformats.org/spreadsheetml/2006/main" count="1111" uniqueCount="703">
  <si>
    <t>final_job_id</t>
  </si>
  <si>
    <t>platform</t>
  </si>
  <si>
    <t>company</t>
  </si>
  <si>
    <t>slug</t>
  </si>
  <si>
    <t>job_id</t>
  </si>
  <si>
    <t>title</t>
  </si>
  <si>
    <t>location</t>
  </si>
  <si>
    <t>is_remote</t>
  </si>
  <si>
    <t>is_hybrid</t>
  </si>
  <si>
    <t>url</t>
  </si>
  <si>
    <t>description</t>
  </si>
  <si>
    <t>New</t>
  </si>
  <si>
    <t>greenhouse|figma|5220003004</t>
  </si>
  <si>
    <t>greenhouse</t>
  </si>
  <si>
    <t>Figma</t>
  </si>
  <si>
    <t>figma</t>
  </si>
  <si>
    <t>5220003004</t>
  </si>
  <si>
    <t>Data Engineer</t>
  </si>
  <si>
    <t>San Francisco, CA • New York, NY • United States</t>
  </si>
  <si>
    <t>https://boards.greenhouse.io/figma/jobs/5220003004?gh_jid=5220003004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</si>
  <si>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</si>
  <si>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greenhouse|figma|5552580004</t>
  </si>
  <si>
    <t>5552580004</t>
  </si>
  <si>
    <t>Data Scientist</t>
  </si>
  <si>
    <t>https://boards.greenhouse.io/figma/jobs/5552580004?gh_jid=5552580004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</si>
  <si>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</si>
  <si>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greenhouse|figma|6013304004</t>
  </si>
  <si>
    <t>6013304004</t>
  </si>
  <si>
    <t>Data Scientist, Finance</t>
  </si>
  <si>
    <t>https://boards.greenhouse.io/figma/jobs/6013304004?gh_jid=6013304004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</si>
  <si>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</si>
  <si>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greenhouse|figma|6013303004</t>
  </si>
  <si>
    <t>6013303004</t>
  </si>
  <si>
    <t>Data Scientist, Marketing</t>
  </si>
  <si>
    <t>https://boards.greenhouse.io/figma/jobs/6013303004?gh_jid=6013303004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</si>
  <si>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</si>
  <si>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greenhouse|figma|5551532004</t>
  </si>
  <si>
    <t>5551532004</t>
  </si>
  <si>
    <t>Software Engineer, Machine Learning</t>
  </si>
  <si>
    <t>https://boards.greenhouse.io/figma/jobs/5551532004?gh_jid=5551532004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</si>
  <si>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</si>
  <si>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ashby|notion|a1216dba-e175-4a3d-b712-401c9fbdcd92</t>
  </si>
  <si>
    <t>ashby</t>
  </si>
  <si>
    <t>Notion</t>
  </si>
  <si>
    <t>notion</t>
  </si>
  <si>
    <t>a1216dba-e175-4a3d-b712-401c9fbdcd92</t>
  </si>
  <si>
    <t xml:space="preserve">Data Engineer, People Analytics </t>
  </si>
  <si>
    <t>San Francisco, California</t>
  </si>
  <si>
    <t>https://jobs.ashbyhq.com/notion/a1216dba-e175-4a3d-b712-401c9fbdcd92</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</si>
  <si>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</si>
  <si>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ashby|notion|e4229ca4-8210-4282-98ed-2071478f72aa</t>
  </si>
  <si>
    <t>e4229ca4-8210-4282-98ed-2071478f72aa</t>
  </si>
  <si>
    <t>People Analytics &amp; Operations (Rotational Program)</t>
  </si>
  <si>
    <t>https://jobs.ashbyhq.com/notion/e4229ca4-8210-4282-98ed-2071478f72aa</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</si>
  <si>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</si>
  <si>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ashby|notion|6597b600-7781-46e6-b70a-a9af4fb2b61b</t>
  </si>
  <si>
    <t>6597b600-7781-46e6-b70a-a9af4fb2b61b</t>
  </si>
  <si>
    <t>People Analytics Lead - Recruiting</t>
  </si>
  <si>
    <t>https://jobs.ashbyhq.com/notion/6597b600-7781-46e6-b70a-a9af4fb2b61b</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</si>
  <si>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</si>
  <si>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greenhouse|databricks|8520024002</t>
  </si>
  <si>
    <t>Databricks</t>
  </si>
  <si>
    <t>databricks</t>
  </si>
  <si>
    <t>8520024002</t>
  </si>
  <si>
    <t>Solutions Architect - Financial Services (Insurance)</t>
  </si>
  <si>
    <t>Georgia; Illinois; Massachusetts; New York; North Carolina</t>
  </si>
  <si>
    <t>https://databricks.com/company/careers/open-positions/job?gh_jid=8520024002</t>
  </si>
  <si>
    <t>FEQ327R7 While candidates in the listed location(s) are encouraged to apply for this role, exceptionally well-qualified candidates in other East Coast locations will also be considered. Mission Solutions Architects at Databricks lead the growth of the Databricks Data Intelligence Platform. As a team, we have expertise in cloud platforms, data engineering, data analytics, and data science, machine learning, and AI. As a member of our team, you will exercise and grow your expertise in those areas, using open source projects such as Apache Spark™, Delta Lake, and MLflow. This is a customer-facing role, where you will work with customers, your teammates, the product team, our post-sales team,s and partners, to identify use cases for Databricks, develop architectures and solutions using our platform, and guide customers through the implementation, to accomplish meaningful outcomes for their businesses. In this process, you will build relationships with our customers, identify and cultivate champions, and establish yourself as a trusted advisor. You will report to a Field Engineering Manager within the Financial Services team at Databricks. The impact you will have : Partner with the sales team to help customers understand how Databricks can help solve their business problems Provide technical leadership for customers to evaluate and adopt Databricks Consult on big data architecture, execute proof of concepts for strategic customer projects, and validate integrations with cloud services and other 3rd party applications Build and present reference architectures, how-tos, and demonstrate applications for customers Become an expert in, and promote open source projects (Apache Spark™, Delta Lake, MLflow, and Unity Catalog) across developer communities through meetups, conferences, and webinars Travel to meet with customers in your territory What we look for : 7+ years in a customer-facing pre-sales role, or consulting role - preferably working with big-data technologies to solve data engineering and big-data analytical challenges Experience designing and architecting distributed data systems Comfortable programming in, and debugging, at least one of: Python, SQL, Scala, Java, or R Experience working with global system integrators, consulting organizations, or financial services technology, or financial services data providers is a positive differentiator Experience building solutions with public cloud providers such as AWS, Azure, or GCP Experience with Data Engineering technologies ( Ex: Spark, Hadoop, Kafka ) Experience with Data Warehousing technologies ( Ex: SQL, OLTP/OLAP/DSS ) Undergraduate degree or higher in an engineering or mathematics discipline such as Computer Science, Applied Mathematics, Electrical Engineering, etc.)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</si>
  <si>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greenhouse|databricks|8570023002</t>
  </si>
  <si>
    <t>8570023002</t>
  </si>
  <si>
    <t>Specialist Solutions Architect - Data Engineering &amp; Warehousing</t>
  </si>
  <si>
    <t>United States</t>
  </si>
  <si>
    <t>https://databricks.com/company/careers/open-positions/job?gh_jid=8570023002</t>
  </si>
  <si>
    <t>FEQ327R455 - DNB FEQ327R257 - Emerging FEQ327R204 - FinS As a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5+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[Preferred] Prior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</si>
  <si>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greenhouse|databricks|8568122002</t>
  </si>
  <si>
    <t>8568122002</t>
  </si>
  <si>
    <t>Sr. Specialist Solutions Architect - Data Engineering &amp; Warehousing</t>
  </si>
  <si>
    <t>https://databricks.com/company/careers/open-positions/job?gh_jid=8568122002</t>
  </si>
  <si>
    <t>FEQ327R204 As a Sr.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8+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3+ years of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$219,100 — $301,300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</si>
  <si>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greenhouse|stripe|7540441</t>
  </si>
  <si>
    <t>Stripe</t>
  </si>
  <si>
    <t>stripe</t>
  </si>
  <si>
    <t>7540441</t>
  </si>
  <si>
    <t>Credit Risk Analyst Commercial Underwriter, West Coast</t>
  </si>
  <si>
    <t>Chicago, US-Remote, Canada-Remote</t>
  </si>
  <si>
    <t>https://stripe.com/jobs/search?gh_jid=7540441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</si>
  <si>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</si>
  <si>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greenhouse|stripe|7612192</t>
  </si>
  <si>
    <t>7612192</t>
  </si>
  <si>
    <t>Credit Risk Analyst, North American Underwriter</t>
  </si>
  <si>
    <t xml:space="preserve">Toronto, Remote-Canada </t>
  </si>
  <si>
    <t>https://stripe.com/jobs/search?gh_jid=7612192</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</si>
  <si>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</si>
  <si>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greenhouse|stripe|8044686</t>
  </si>
  <si>
    <t>8044686</t>
  </si>
  <si>
    <t>Credit Risk Strategy and Analytics</t>
  </si>
  <si>
    <t xml:space="preserve">Remote </t>
  </si>
  <si>
    <t>https://stripe.com/jobs/search?gh_jid=8044686</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</si>
  <si>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Capital team is responsible for managing the end-to-end risk strategy for Stripe's lending product. The team is based in the US and Canada, and is composed of curious, driven, and analytical individuals who are passionate about using their skills to shape the future of Stripe. We partner closely with Stripe's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 What you’ll do As a key member of the Capital team, you will have the opportunity to shape the future of Stripe's credit policy by driving meaningful changes to the risk and underwriting framework. You will leverage Stripe's vast data assets to formulate your recommendations and work closely with our partners and, where applicable, leverage third-party data. We are a small and lean team, which means you will have the autonomy and the responsibility to manage end-to-end risk initiatives. Responsibilities Architect and implement credit policies based on Stripe's proprietary data and selected industry data to target, price, and size capital products. Utilize your analytical and technical skills to provide credit risk recommendations, deliver insights, and support strategic business decisions. Collaborate with cross-functional teams, such as Product, Data Science, Engineering, and Capital Markets to shape new product development across different geographies and industries. Incorporate third-party data, including bureau, bank account, financial statements, and less traditional data, into our credit assessment. Analyze account activity and monitor portfolio trends to identify opportunities for Stripe to reduce potential credit losses. Help scale risk processes by working with partners to design and optimize outsourced workflows. Who you are We’re looking for someone who meets the minimum requirements to be considered for the role. If you meet these requirements, you are encouraged to apply. The preferred qualifications are a bonus, not a requirement. Minimum requirements 5+ years of experience in credit analysis and underwriting. Bachelor's degree in finance, economics, statistics, or a related field. Experience in risk management, financial lending, or core credit risk management function. Strong analytical skills and a rigorous, data-driven approach to problem-solving. Experience working with both internal and external stakeholders and the ability to closely. manage expectations and deliverables in a timely manner. Ability to thrive in an unstructured and fast-moving organization. Strong technical expertise, including SQL, excel, google sheets. Self-starter who can work independently. Preferred qualifications Experience with quantitative tools such as Python, R, or Stata. Master's degree in finance, economics, statistics, or a related field. Superior communication and relationship management skills. Experience with credit scoring models. Experience working with machine learning teams. Ability to communicate results clearly with a focus on driving impact.</t>
  </si>
  <si>
    <t>greenhouse|stripe|8052468</t>
  </si>
  <si>
    <t>8052468</t>
  </si>
  <si>
    <t xml:space="preserve">United States </t>
  </si>
  <si>
    <t>https://stripe.com/jobs/search?gh_jid=8052468</t>
  </si>
  <si>
    <t>greenhouse|stripe|7376419</t>
  </si>
  <si>
    <t>7376419</t>
  </si>
  <si>
    <t>Data Analyst - Economic Insights &amp; Communications</t>
  </si>
  <si>
    <t>US</t>
  </si>
  <si>
    <t>https://stripe.com/jobs/search?gh_jid=7376419</t>
  </si>
  <si>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We’re looking for an experienced data analyst to deepen understanding around the economic impact Stripe is having globally. You will be part of a community of analysts and data scientists on the Go-to-Market Analytics team, and you will partner with Stripe’s Communications teams to build and protect Stripe’s brand and influence across the world. What you’ll do This person will bridge Economic Insights and how we Communicate them with the broader public. Stripe has a unique view of the world, with real-time insight into changing trends, industries, and cross-border commerce. The Data Analyst, Economic Insights &amp; Communication role will focus on constructing and analyzing data, built upon robust data pipelines and a strong data architecture, to demonstrate how Stripe enables broad and often surprising economic growth. This role will help tease out novel economic insights from Stripe data to tell stories about how pockets of the economy are evolving, and how Stripe is advancing economic opportunity and increasing the GDP of the internet. Responsibilities Partner with the Communications teams to imagine, scope, and lead research projects that bring to life different facets of Stripe’s economic impact Publish findings both internally and externally Generate hypotheses, rapidly test them against Stripe data, and proactively share the most interesting nuggets Design, implement and maintain data pipelines and dashboards to generate insights from Stripe internal and external public data sources Define and monitor key economic impact metrics Go deep on understanding business drivers, user segments, cohorts and macroeconomic trends Partner closely with Communications teams to identify and analyze key trends and produce social posts, blogs, reports, briefings and campaign content leveraging Stripe data Who you are We're looking for someone who meets the minimum requirements to be considered for the role. If you meet these requirements, you are encouraged to apply. The preferred qualifications are a bonus, not a requirement. Minimum requirements 3+ years of experience in analytical roles working with large datasets Bachelor’s degree in Statistics, Economics, Mathematics, Engineering, Sciences or a related quantitative field Proficiency in SQL and Python and experience building and maintaining data pipelines using a distributed data framework Experience building self-serve dashboards or other scalable analytical tools for partner teams Experience developing data-informed narratives and visualizations for external publication Preferred qualifications Master’s degree in Statistics, Economics, Mathematics, Engineering, Sciences or a related quantitative field and/or experience in working on data analytics in the tech field Experience working with institutions that are respected by policymakers and the wider public for their economic insight Familiarity with survey design and analysis</t>
  </si>
  <si>
    <t>greenhouse|stripe|7952048</t>
  </si>
  <si>
    <t>7952048</t>
  </si>
  <si>
    <t>Machine Learning Engineer, Capital Underwriting</t>
  </si>
  <si>
    <t>https://stripe.com/jobs/search?gh_jid=7952048</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</si>
  <si>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Capital provides access to fast, flexible financing to small-and-medium businesses on Stripe to accelerate their growth, and we lent over $1B in 2024. Businesses use the funds for marketing, team growth, geographic expansion, working capital, new equipment purchases, and much more. Machine learning is core to Stripe Capital’s business—we use information about businesses from their activity within and outside of Stripe and our models to automatically underwrite uniquely tailored financing offers to their needs, which banks are often unable to do. We are doing so through models with an established performance history, data infrastructure that is Stripe scale, and a strong feedback loop that includes explainability, anomaly detection and a risk portfolio management layer. We're an end-to-end team going from ideas to models to shipping in production. What you’ll do As a machine learning engineer for Stripe Capital, you'll be responsible for designing, building, training, evaluating, deploying, and owning ML models in production with the goals of providing financing opportunities to as many users as possible while satisfying financial performance goals. You'll work closely with software engineers, data scientists, product managers, and risk managers to operate Stripe’s ML powered systems, features, and products. You'll also contribute to and influence ML architecture at Stripe and be a part of a larger ML community. Responsibilities Design state-of-the-art ML models and large scale ML systems for underwriting and portfolio management for Stripe Capital based on ML principles, domain knowledge, risk, regulatory and engineering constraints Design systems to speed up the time from idea to deployment of new models Experiment and iterate on ML models (using tools such as PyTorch and TensorFlow) to achieve key business goals and drive efficiency Develop pipelines and automated processes to train and evaluate models in offline and online environments Integrate ML models into production systems and ensure their scalability and reliability Collaborate with product and strategy partners to propose, prioritize, and implement new product features Engage with the latest developments in ML/AI and take calculated risks in transforming innovative ML ideas into productionized solutions Who you are We are looking for ML Engineers who are passionate about building ML systems that touch the lives of millions. You have experience developing efficient feature pipelines, building advanced ML models, and deploying them to production. You are comfortable with ambiguity, love to take initiative, have a bias towards action, and thrive in a collaborative environment. We’re looking for someone who can bring new ideas to the table on building models able to push the state of the art at Stripe, especially within the regulatory and operational constraints of a financing business. Minimum requirements 5+ years of industry experience building and shipping ML systems in production Proficient with ML libraries and frameworks such as PyTorch, TensorFlow, XGBoost, as well as Spark Hands-on experience in designing, training, and evaluating machine learning models Hands-on experience in productionizing and deploying models at scale Hands-on experience in orchestrating complicated data pipelines and efficiently leveraging large-scale datasets Preferred qualifications MS/PhD degree in ML/AI or related field (e.g. math, physics, statistics) Proven track record of building and deploying ML systems that have effectively solved ambiguous business problems Experience in adversarial domains such as Lending, Trading, Fraud Experience with Deep Learning including the latest architectures such as transformers, test-time compute, reinforcement learning</t>
  </si>
  <si>
    <t>greenhouse|stripe|7739207</t>
  </si>
  <si>
    <t>7739207</t>
  </si>
  <si>
    <t>Sales Compensation Analytics &amp; Systems Specialist</t>
  </si>
  <si>
    <t>CHI, SF, NYC, SEA, US Remote</t>
  </si>
  <si>
    <t>https://stripe.com/jobs/search?gh_jid=7739207</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</si>
  <si>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</si>
  <si>
    <t>greenhouse|stripe|7826761</t>
  </si>
  <si>
    <t>7826761</t>
  </si>
  <si>
    <t>Software Engineer, Security Analytics Infrastructure</t>
  </si>
  <si>
    <t>US - Remote</t>
  </si>
  <si>
    <t>https://stripe.com/jobs/search?gh_jid=7826761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</si>
  <si>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</si>
  <si>
    <t>greenhouse|stripe|7921649</t>
  </si>
  <si>
    <t>7921649</t>
  </si>
  <si>
    <t>Staff Data Analyst</t>
  </si>
  <si>
    <t>https://stripe.com/jobs/search?gh_jid=7921649</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</si>
  <si>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Data Science team builds the data foundations, models, and measurement frameworks that power Stripe's risk and product decisions — from underwriting and reserves to merchant interventions and enablements. We're at an inflection point: as Stripe increasingly offers risk capabilities as a product to platforms and users, we need a data leader to shape how we build, measure, and evolve our risk data strategy across the What you’ll do We are looking for an experienced data analyst to drive the data strategy for our risk as a product offering. Define the metrics, data products, and analytical frameworks needed as Stripe brings risk capabilities to platforms and connected accounts at scale. Partner with Product, Engineering, and Risk leadership to ensure data investments align with the product roadmap. You will design metrics, pipelines, and data products that serve as the analytical backbone for risk decisioning. You will own the definition, reliability, and visibility of our most important risk metrics. Establish a canonical set of north star and operational metrics and ensure they are trustworthy, well-documented, and consistently surfaced to the right audiences. Build and maintain the infrastructure that keeps these metrics accurate as our data and product landscape evolves, including clear ownership, alerting on regressions, and scalable pipelines that reduce the cost of keeping insights current. You will also own and evolve Stripe's risk experimentation strategy by defining what we test, how we measure, and how we learn. Ensure we can rigorously evaluate the impact of changes to risk policies, merchant journeys, and risk models across diverse merchant populations. Finally, you will mentor and raise the bar for the Data Analysts on the team. Set technical and strategic standards. Guide junior and senior analysts on how to frame ambiguous problems, structure analyses for maximum impact, and communicate findings to senior stakeholders. Who you are We’re looking for someone who meets the minimum requirements to be considered for the role. If you meet these requirements, you are encouraged to apply. The preferred qualifications are a bonus, not a requirement. Minimum requirements 10+ years in Data Analytics, Data Science, or related roles Track record of defining and driving data strategy across multiple teams — not just executing on a roadmap, but shaping it Experience designing experimentation frameworks or measurement strategies for complex, multi-variant systems (e.g., risk policies, pricing, marketplace dynamics) Deep expertise in SQL; proficiency in Python Strong ability to translate ambiguous business problems into structured analytical approaches and communicate findings to executive stakeholders Experience building and scaling data products (metrics frameworks, pipelines, dashboards) that become operational infrastructure, not one-off analyses Demonstrated ability to influence without authority across engineering, product, and business teams Proficiency with AI tools to accelerate model development, analysis and coding Preferred qualifications Master’s degree in Mathematics, Statistics, Economics, Engineering, or a related technical field Experience in risk, trust &amp; safety, or related domains and understanding of risk in the Fintech space Experience building data for platform/product offerings where data is part of the product surface, not just internal analytics Familiarity with causal inference and A/B testing in non-standard environments (e.g., where randomization is constrained by risk considerations)</t>
  </si>
  <si>
    <t>workday|usaa|/job/san-antonio-home-office-iiiii/data-scientist-lead---ai-ml_r0115805</t>
  </si>
  <si>
    <t>workday</t>
  </si>
  <si>
    <t>USAA</t>
  </si>
  <si>
    <t>usaa/wd1/USAAJOBSWD</t>
  </si>
  <si>
    <t>/job/San-Antonio-Home-Office-IIIII/Data-Scientist-Lead---AI-ML_R0115805</t>
  </si>
  <si>
    <t>Data Scientist Lead - Model Development</t>
  </si>
  <si>
    <t>6 Locations</t>
  </si>
  <si>
    <t>https://usaa.wd1.myworkdayjobs.com/en-US/USAAJOBSWD/job/San-Antonio-Home-Office-IIIII/Data-Scientist-Lead---AI-ML_R0115805</t>
  </si>
  <si>
    <t>workday|usaa|/job/san-antonio-home-office-i/p-c-analytics-product-development-manager--auto-telematics-_r0119126</t>
  </si>
  <si>
    <t>/job/San-Antonio-Home-Office-I/P-C-Analytics-Product-Development-Manager--Auto-Telematics-_R0119126</t>
  </si>
  <si>
    <t>P&amp;C Analytics Product Development Manager (Auto Telematics)</t>
  </si>
  <si>
    <t>https://usaa.wd1.myworkdayjobs.com/en-US/USAAJOBSWD/job/San-Antonio-Home-Office-I/P-C-Analytics-Product-Development-Manager--Auto-Telematics-_R0119126</t>
  </si>
  <si>
    <t>workday|usaa|/job/san-antonio-home-office-i/director--decision-science-analytics_r0117151</t>
  </si>
  <si>
    <t>/job/San-Antonio-Home-Office-I/Director--Decision-Science-Analytics_R0117151</t>
  </si>
  <si>
    <t>Director, Decision Science Analytics</t>
  </si>
  <si>
    <t>https://usaa.wd1.myworkdayjobs.com/en-US/USAAJOBSWD/job/San-Antonio-Home-Office-I/Director--Decision-Science-Analytics_R0117151</t>
  </si>
  <si>
    <t>workday|usaa|/job/san-antonio-home-office-i/director--decision-science-analytics---omni-channel---digital-claims-analytics_r0118626</t>
  </si>
  <si>
    <t>/job/San-Antonio-Home-Office-I/Director--Decision-Science-Analytics---Omni-Channel---Digital-Claims-Analytics_R0118626</t>
  </si>
  <si>
    <t>Director, Decision Science Analytics – Omni Channel &amp; Digital Claims Analytics</t>
  </si>
  <si>
    <t>7 Locations</t>
  </si>
  <si>
    <t>https://usaa.wd1.myworkdayjobs.com/en-US/USAAJOBSWD/job/San-Antonio-Home-Office-I/Director--Decision-Science-Analytics---Omni-Channel---Digital-Claims-Analytics_R0118626</t>
  </si>
  <si>
    <t>workday|usaa|/job/san-antonio-home-office-i/actuarial-analyst-ii--intermediate----forecasting-analytics_r0118072</t>
  </si>
  <si>
    <t>/job/San-Antonio-Home-Office-I/Actuarial-Analyst-II--Intermediate----Forecasting-Analytics_R0118072</t>
  </si>
  <si>
    <t>Actuarial Analyst II (Intermediate) – Forecasting Analytics</t>
  </si>
  <si>
    <t>https://usaa.wd1.myworkdayjobs.com/en-US/USAAJOBSWD/job/San-Antonio-Home-Office-I/Actuarial-Analyst-II--Intermediate----Forecasting-Analytics_R0118072</t>
  </si>
  <si>
    <t>workday|usaa|/job/san-antonio-home-office-i/licensed-p-c-insurance-professional---sales-and-service--signing-bonus-_r0117154</t>
  </si>
  <si>
    <t>/job/San-Antonio-Home-Office-I/Licensed-P-C-Insurance-Professional---Sales-and-Service--Signing-Bonus-_R0117154</t>
  </si>
  <si>
    <t>Licensed P&amp;C Insurance Professional - Sales and Service (Signing Bonus)</t>
  </si>
  <si>
    <t>San Antonio Home Office I</t>
  </si>
  <si>
    <t>https://usaa.wd1.myworkdayjobs.com/en-US/USAAJOBSWD/job/San-Antonio-Home-Office-I/Licensed-P-C-Insurance-Professional---Sales-and-Service--Signing-Bonus-_R0117154</t>
  </si>
  <si>
    <t>workday|usaa|/job/san-antonio-home-office-i/insurance-professional---sales-and-service_r0117155</t>
  </si>
  <si>
    <t>/job/San-Antonio-Home-Office-I/Insurance-Professional---Sales-and-Service_R0117155</t>
  </si>
  <si>
    <t>Insurance Professional – Sales and Service</t>
  </si>
  <si>
    <t>https://usaa.wd1.myworkdayjobs.com/en-US/USAAJOBSWD/job/San-Antonio-Home-Office-I/Insurance-Professional---Sales-and-Service_R0117155</t>
  </si>
  <si>
    <t>workday|usaa|/job/san-antonio-home-office-i/climate-scientist-senior---p-c-climate-risk---exposure-analytics_r0118347</t>
  </si>
  <si>
    <t>/job/San-Antonio-Home-Office-I/Climate-Scientist-Senior---P-C-Climate-Risk---Exposure-Analytics_R0118347</t>
  </si>
  <si>
    <t>Climate Scientist Senior – P&amp;C Climate Risk &amp; Exposure Analytics</t>
  </si>
  <si>
    <t>https://usaa.wd1.myworkdayjobs.com/en-US/USAAJOBSWD/job/San-Antonio-Home-Office-I/Climate-Scientist-Senior---P-C-Climate-Risk---Exposure-Analytics_R0118347</t>
  </si>
  <si>
    <t>workday|usaa|/job/san-antonio-home-office-i/lead-graph-data-scientist---identity-analytics_r0118883</t>
  </si>
  <si>
    <t>/job/San-Antonio-Home-Office-I/Lead-Graph-Data-Scientist---Identity-Analytics_R0118883</t>
  </si>
  <si>
    <t>Lead Graph Data Scientist - Identity Analytics</t>
  </si>
  <si>
    <t>https://usaa.wd1.myworkdayjobs.com/en-US/USAAJOBSWD/job/San-Antonio-Home-Office-I/Lead-Graph-Data-Scientist---Identity-Analytics_R0118883</t>
  </si>
  <si>
    <t>workday|usaa|/job/san-antonio-home-office-i/data-scientist-senior_r0118568</t>
  </si>
  <si>
    <t>/job/San-Antonio-Home-Office-I/Data-Scientist-Senior_R0118568</t>
  </si>
  <si>
    <t>Data Scientist Senior</t>
  </si>
  <si>
    <t>https://usaa.wd1.myworkdayjobs.com/en-US/USAAJOBSWD/job/San-Antonio-Home-Office-I/Data-Scientist-Senior_R0118568</t>
  </si>
  <si>
    <t>workday|usaa|/job/tampa-crosstown/licensed-p-c-insurance-professional---sales-and-service--signing-bonus-_r0117494</t>
  </si>
  <si>
    <t>/job/Tampa-Crosstown/Licensed-P-C-Insurance-Professional---Sales-and-Service--Signing-Bonus-_R0117494</t>
  </si>
  <si>
    <t>2 Locations</t>
  </si>
  <si>
    <t>https://usaa.wd1.myworkdayjobs.com/en-US/USAAJOBSWD/job/Tampa-Crosstown/Licensed-P-C-Insurance-Professional---Sales-and-Service--Signing-Bonus-_R0117494</t>
  </si>
  <si>
    <t>workday|usaa|/job/tampa-crosstown/insurance-professional---sales-and-service_r0117484</t>
  </si>
  <si>
    <t>/job/Tampa-Crosstown/Insurance-Professional---Sales-and-Service_R0117484</t>
  </si>
  <si>
    <t>Insurance Professional - Sales and Service</t>
  </si>
  <si>
    <t>https://usaa.wd1.myworkdayjobs.com/en-US/USAAJOBSWD/job/Tampa-Crosstown/Insurance-Professional---Sales-and-Service_R0117484</t>
  </si>
  <si>
    <t>workday|usaa|/job/plano-legacy/life-insurance-sales-agent---multi-level-opportunity_r0118601</t>
  </si>
  <si>
    <t>/job/Plano-Legacy/Life-Insurance-Sales-Agent---Multi-Level-Opportunity_R0118601</t>
  </si>
  <si>
    <t>Life Insurance Sales Agent – Multi-Level Opportunity</t>
  </si>
  <si>
    <t>Plano Legacy</t>
  </si>
  <si>
    <t>https://usaa.wd1.myworkdayjobs.com/en-US/USAAJOBSWD/job/Plano-Legacy/Life-Insurance-Sales-Agent---Multi-Level-Opportunity_R0118601</t>
  </si>
  <si>
    <t>workday|usaa|/job/tampa-crosstown/life-insurance-sales-agent---multi-level--opportunity_r0118602</t>
  </si>
  <si>
    <t>/job/Tampa-Crosstown/Life-Insurance-Sales-Agent---Multi-Level--Opportunity_R0118602</t>
  </si>
  <si>
    <t>Life Insurance Sales Agent – Multi-Level  Opportunity</t>
  </si>
  <si>
    <t>https://usaa.wd1.myworkdayjobs.com/en-US/USAAJOBSWD/job/Tampa-Crosstown/Life-Insurance-Sales-Agent---Multi-Level--Opportunity_R0118602</t>
  </si>
  <si>
    <t>workday|usaa|/job/colorado-springs-campus/insurance-professional---sales-and-service_r0118400</t>
  </si>
  <si>
    <t>/job/Colorado-Springs-Campus/Insurance-Professional---Sales-and-Service_R0118400</t>
  </si>
  <si>
    <t>Colorado Springs Campus</t>
  </si>
  <si>
    <t>https://usaa.wd1.myworkdayjobs.com/en-US/USAAJOBSWD/job/Colorado-Springs-Campus/Insurance-Professional---Sales-and-Service_R0118400</t>
  </si>
  <si>
    <t>workday|usaa|/job/plano-legacy/credit-risk-analytics-manager-i_r0116413</t>
  </si>
  <si>
    <t>/job/Plano-Legacy/Credit-Risk-Analytics-Manager-I_R0116413</t>
  </si>
  <si>
    <t>Credit Risk Analytics Manager I</t>
  </si>
  <si>
    <t>https://usaa.wd1.myworkdayjobs.com/en-US/USAAJOBSWD/job/Plano-Legacy/Credit-Risk-Analytics-Manager-I_R0116413</t>
  </si>
  <si>
    <t>workday|usaa|/job/phoenix-campus-main/insurance-professional---sales-and-service_r0118313</t>
  </si>
  <si>
    <t>/job/Phoenix-Campus-Main/Insurance-Professional---Sales-and-Service_R0118313</t>
  </si>
  <si>
    <t>Phoenix Campus (Main)</t>
  </si>
  <si>
    <t>https://usaa.wd1.myworkdayjobs.com/en-US/USAAJOBSWD/job/Phoenix-Campus-Main/Insurance-Professional---Sales-and-Service_R0118313</t>
  </si>
  <si>
    <t>workday|usaa|/job/san-antonio-home-office-i/usaa-signal-fellowship-program-data-and-analytics_r0118277</t>
  </si>
  <si>
    <t>/job/San-Antonio-Home-Office-I/USAA-Signal-Fellowship-Program-Data-and-Analytics_R0118277</t>
  </si>
  <si>
    <t>USAA Signal Fellowship Program-Data and Analytics</t>
  </si>
  <si>
    <t>https://usaa.wd1.myworkdayjobs.com/en-US/USAAJOBSWD/job/San-Antonio-Home-Office-I/USAA-Signal-Fellowship-Program-Data-and-Analytics_R0118277</t>
  </si>
  <si>
    <t>workday|usaa|/job/san-antonio-home-office-i/business-intelligence-analyst-senior_r0118060</t>
  </si>
  <si>
    <t>/job/San-Antonio-Home-Office-I/Business-Intelligence-Analyst-Senior_R0118060</t>
  </si>
  <si>
    <t>Business Intelligence Analyst Senior</t>
  </si>
  <si>
    <t>https://usaa.wd1.myworkdayjobs.com/en-US/USAAJOBSWD/job/San-Antonio-Home-Office-I/Business-Intelligence-Analyst-Senior_R0118060</t>
  </si>
  <si>
    <t>workday|usaa|/job/charlotte-nc---cents/data-scientist-i_r0118100</t>
  </si>
  <si>
    <t>/job/Charlotte-NC---CENTS/Data-Scientist-I_R0118100</t>
  </si>
  <si>
    <t>Data Scientist I</t>
  </si>
  <si>
    <t>Charlotte, NC - CENTS</t>
  </si>
  <si>
    <t>https://usaa.wd1.myworkdayjobs.com/en-US/USAAJOBSWD/job/Charlotte-NC---CENTS/Data-Scientist-I_R0118100</t>
  </si>
  <si>
    <t>workday|usaa|/job/plano-legacy/data-scientist-senior_r0118066</t>
  </si>
  <si>
    <t>/job/Plano-Legacy/Data-Scientist-Senior_R0118066</t>
  </si>
  <si>
    <t>https://usaa.wd1.myworkdayjobs.com/en-US/USAAJOBSWD/job/Plano-Legacy/Data-Scientist-Senior_R0118066</t>
  </si>
  <si>
    <t>workday|usaa|/job/san-antonio-home-office-i/director-hr-data---analytics_r0118116</t>
  </si>
  <si>
    <t>/job/San-Antonio-Home-Office-I/Director-HR-Data---Analytics_R0118116</t>
  </si>
  <si>
    <t>Director-HR Data &amp; Analytics</t>
  </si>
  <si>
    <t>https://usaa.wd1.myworkdayjobs.com/en-US/USAAJOBSWD/job/San-Antonio-Home-Office-I/Director-HR-Data---Analytics_R0118116</t>
  </si>
  <si>
    <t>workday|usaa|/job/san-antonio-home-office-i/licensed-p-c-insurance-professional---sales-and-service--signing-bonus-_r0114411</t>
  </si>
  <si>
    <t>/job/San-Antonio-Home-Office-I/Licensed-P-C-Insurance-Professional---Sales-and-Service--Signing-Bonus-_R0114411</t>
  </si>
  <si>
    <t>https://usaa.wd1.myworkdayjobs.com/en-US/USAAJOBSWD/job/San-Antonio-Home-Office-I/Licensed-P-C-Insurance-Professional---Sales-and-Service--Signing-Bonus-_R0114411</t>
  </si>
  <si>
    <t>workday|allstate|/job/remote---remote/business-intelligence-and-data-analytics-consultant-ii---remote_r32407</t>
  </si>
  <si>
    <t>Allstate</t>
  </si>
  <si>
    <t>allstate/wd5/allstate_careers</t>
  </si>
  <si>
    <t>/job/Remote---Remote/Business-Intelligence-and-Data-Analytics-Consultant-II---Remote_R32407</t>
  </si>
  <si>
    <t>Business Intelligence and Data Analytics Consultant II - Remote</t>
  </si>
  <si>
    <t>Remote - Remote</t>
  </si>
  <si>
    <t>https://allstate.wd5.myworkdayjobs.com/en-US/allstate_careers/job/Remote---Remote/Business-Intelligence-and-Data-Analytics-Consultant-II---Remote_R32407</t>
  </si>
  <si>
    <t>workday|centene|/job/remote-fl/senior-analytics-engineer_1643516-1</t>
  </si>
  <si>
    <t>Centene</t>
  </si>
  <si>
    <t>centene/wd5/Centene_External</t>
  </si>
  <si>
    <t>/job/Remote-FL/Senior-Analytics-Engineer_1643516-1</t>
  </si>
  <si>
    <t>Senior Analytics Engineer</t>
  </si>
  <si>
    <t>Remote-FL</t>
  </si>
  <si>
    <t>https://centene.wd5.myworkdayjobs.com/en-US/Centene_External/job/Remote-FL/Senior-Analytics-Engineer_1643516-1</t>
  </si>
  <si>
    <t>workday|centene|/job/remote-mo/data-analyst-iii_1642364-1</t>
  </si>
  <si>
    <t>/job/Remote-MO/Data-Analyst-III_1642364-1</t>
  </si>
  <si>
    <t>Data Analyst III</t>
  </si>
  <si>
    <t>8 Locations</t>
  </si>
  <si>
    <t>https://centene.wd5.myworkdayjobs.com/en-US/Centene_External/job/Remote-MO/Data-Analyst-III_1642364-1</t>
  </si>
  <si>
    <t>workday|mmc|/job/bogota---calle-26/analyst--insurance-operations_r_348419</t>
  </si>
  <si>
    <t>MMC</t>
  </si>
  <si>
    <t>mmc/wd1/MMC</t>
  </si>
  <si>
    <t>/job/Bogota---Calle-26/Analyst--Insurance-Operations_R_348419</t>
  </si>
  <si>
    <t>Analyst- Insurance Operations</t>
  </si>
  <si>
    <t>Bogota - Calle 26</t>
  </si>
  <si>
    <t>https://mmc.wd1.myworkdayjobs.com/en-US/MMC/job/Bogota---Calle-26/Analyst--Insurance-Operations_R_348419</t>
  </si>
  <si>
    <t>workday|mmc|/job/philadelphia---south-17th/vp--global-analytics_r_337035-1</t>
  </si>
  <si>
    <t>/job/Philadelphia---South-17th/VP--Global-Analytics_R_337035-1</t>
  </si>
  <si>
    <t>VP, Global Analytics</t>
  </si>
  <si>
    <t>https://mmc.wd1.myworkdayjobs.com/en-US/MMC/job/Philadelphia---South-17th/VP--Global-Analytics_R_337035-1</t>
  </si>
  <si>
    <t>workday|mmc|/job/dublin---frame/senior-analyst---digital-visualization-and-data-analytics-development_r_352779</t>
  </si>
  <si>
    <t>/job/Dublin---Frame/Senior-Analyst---Digital-Visualization-and-Data-Analytics-Development_R_352779</t>
  </si>
  <si>
    <t>Analyst - Global Data and Analytics Team (full-stack experience/Angular/React/MEAN/SQL ideal)</t>
  </si>
  <si>
    <t>Dublin - Frame</t>
  </si>
  <si>
    <t>https://mmc.wd1.myworkdayjobs.com/en-US/MMC/job/Dublin---Frame/Senior-Analyst---Digital-Visualization-and-Data-Analytics-Development_R_352779</t>
  </si>
  <si>
    <t>workday|prog leasing|/job/utah/data-scientist--remote-_jr101816-1</t>
  </si>
  <si>
    <t>Prog Leasing</t>
  </si>
  <si>
    <t>progleasing/wd5/ProgLeasingCareers</t>
  </si>
  <si>
    <t>/job/Utah/Data-Scientist--Remote-_JR101816-1</t>
  </si>
  <si>
    <t>Data Scientist (Remote)</t>
  </si>
  <si>
    <t>Utah</t>
  </si>
  <si>
    <t>https://progleasing.wd5.myworkdayjobs.com/en-US/ProgLeasingCareers/job/Utah/Data-Scientist--Remote-_JR101816-1</t>
  </si>
  <si>
    <t>workday|prog leasing|/job/senior-data-analyst--hybrid---atlanta--ha-_jr101798</t>
  </si>
  <si>
    <t>/job/Senior-Data-Analyst--Hybrid---Atlanta--HA-_JR101798</t>
  </si>
  <si>
    <t>Senior Data Analyst (Hybrid - Atlanta, GA)</t>
  </si>
  <si>
    <t>https://progleasing.wd5.myworkdayjobs.com/en-US/ProgLeasingCareers/job/Senior-Data-Analyst--Hybrid---Atlanta--HA-_JR101798</t>
  </si>
  <si>
    <t>workday|trinity health|/job/saint-agnes-medical-center---fresno-california/business-intelligence-analyst-lean-six-sigma-advisor_00680092</t>
  </si>
  <si>
    <t>Trinity Health</t>
  </si>
  <si>
    <t>trinityhealth/wd1/Jobs</t>
  </si>
  <si>
    <t>/job/Saint-Agnes-Medical-Center---Fresno-California/Business-Intelligence-Analyst-Lean-Six-Sigma-Advisor_00680092</t>
  </si>
  <si>
    <t>Business Intelligence Analyst/Lean Six Sigma Advisor</t>
  </si>
  <si>
    <t>Saint Agnes Medical Center - Fresno, California</t>
  </si>
  <si>
    <t>https://trinityhealth.wd1.myworkdayjobs.com/en-US/Jobs/job/Saint-Agnes-Medical-Center---Fresno-California/Business-Intelligence-Analyst-Lean-Six-Sigma-Advisor_00680092</t>
  </si>
  <si>
    <t>greenhouse|mongodb|7696633</t>
  </si>
  <si>
    <t>MongoDB</t>
  </si>
  <si>
    <t>mongodb</t>
  </si>
  <si>
    <t>7696633</t>
  </si>
  <si>
    <t>Senior Data Analyst</t>
  </si>
  <si>
    <t>https://www.mongodb.com/careers/job/?gh_jid=7696633</t>
  </si>
  <si>
    <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empowering developers to build amazing apps that people use every day. We are the leading developer data platform and the first database provider to IPO in over 20 years. Join our team and be at the forefront of innovation and creativity. MongoDB is seeking a Senior Analyst to support data-driven, people-focused decision making for the company. Partnering with our People team, you will transform HR and organizational data into actionable insights to help us hire the right talent, manage our overall workforce, and improve workforce effectiveness, leading to better outcomes for our people and the company. This position requires someone with strong analytical and technical skills, the ability to tell a story with data, and who is comfortable working across multiple functional areas in a fast-paced, challenging environment. Responsibilities Partner with People teams (business partners, recruiting, culture/talent/development, etc.) to understand their questions, turn analyses into actionable data-driven insights, and make business recommendations Help develop and execute against roadmap for people data investments to both capture near-term value and set up the team for long-term success Leverage understanding of statistics to conduct analyses that help People teams make quicker, more informed decisions Write and maintain complex queries to conduct deep-dive analyses on the impact that People initiatives have on employee engagement, productivity and retention Liaise with Data Engineering and HRIS teams to create and manage a curated central repository for people data Design and build automated dashboards to empower stakeholders to self-serve their data and analytical needs Prioritize and triage analytical and reporting asks from across the People team Develop and support ongoing data governance and data quality processes Effectively communicate analytical findings to non-technical audiences Requirements 3+ years of hands-on analytics experience (focus on people/HR analytics preferred) Advanced SQL skills, comfortable manipulating very large datasets Proficient in Python or R with a strong focus on data wrangling and data analysis Extensive experience with Tableau or another leading visualization tool is required Experience analyzing complex people data (e.g. headcount, attrition, recruiting metrics, compensation data) strongly preferred but not required Experience in survey design and analysis preferred Familiarity with data architecture fundamentals and data warehousing Proficiency with data modeling and data quality best practices Demonstrated ability to effectively communicate and set priorities with key stakeholders at all levels of the organization Highly collaborative and organized, with a strong attention to detail Comfort with ambiguity and ability to work in a self-guided manner Committed to contributing to a collaborative, enjoyable, and psychologically safe work environment Exposure to Modern Cloud Data Warehouses preferred About MongoDB 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 With offices worldwide and over 60,000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1273383451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$83,000 — $162,000 USD</t>
  </si>
  <si>
    <t>greenhouse|mongodb|7742875</t>
  </si>
  <si>
    <t>7742875</t>
  </si>
  <si>
    <t>Senior Python Engineer</t>
  </si>
  <si>
    <t>https://www.mongodb.com/careers/job/?gh_jid=7742875</t>
  </si>
  <si>
    <t>Our Database Experience (DBX) Team A great MongoDB experience starts with great tools. The Database Experience team builds the libraries and tools that developers use day-to-day working with MongoDB. Our mission is to increase developer adoption, satisfaction and retention by providing a reliable, enjoyable interface for developers and other end-users. Our senior engineers are typically specialists in a particular programming language, but are capable of contributing to projects in other languages as well. For this role, we're looking for someone who will enjoy designing, writing, and supporting open source libraries for the Python ecosystem developers that use MongoDB. This is an opportunity to make a major impact at MongoDB as Python is one of the most popular runtimes for MongoDB users, and our driver has over 3 million daily pypi downloads. You might be right for this role if you... Have substantial experience writing high-quality software in Python Have extensive knowledge in Python tools and frameworks, scientific python and web development frameworks Have practical experience with AI/ML frameworks and technologies in Python, including large language models and agentic tools are a plus Have an interest in learning and staying up-to-date with Python ecosystem trends and best practices and incorporating them into your work Can make pragmatic design decisions, balancing tradeoffs such as usability, maintainability and delivery time Want to, or already do, participate in open source software development and communities, both online via e.g. GitHub and optionally through conferences and speaking engagements Communicate well, internally and externally, both verbally and in writing Enjoy collaborating with teammates, and mentoring junior engineers and interns Are self-motivated, organized, and have strong time management skills You'll be on the team responsible for... Developing and supporting the MongoDB Python drivers and subsidiary libraries ( PyMongo , Django MongoDB Backend , PyMongoArrow , LangChain MongoDB ) and related software, collaborating with peers in our distributed world-wide engineering team Writing and maintaining open source specifications defining common behavior and APIs shared across all of our drivers Investigating bugs and support requests from commercial customers, open source users, and internal users for the libraries our team maintains Working with our Product and Server teams on designs and specifications for new user-facing MongoDB features Success in this role means... Within one month, you will understand the high-level architecture of the drivers and how MongoDB works, and will have completed a few small bug fixes and/or feature tickets Within three months, you will be contributing effectively day-to-day, fixing bugs, implementing features, investigating and responding to open source user and customer issues, and reviewing your peers' code Within six months, you'll have implemented major, planned new features, contributed to our common driver specifications, shipped a major feature in an open source library, and will be collaborating with the Product team to help craft our roadmap Within twelve months, you'll have significantly improved the quality, performance and maintainability of our codebase, and will be taking the lead in designing and specifying major new features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1273396098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$126,000 — $248,000 USD</t>
  </si>
  <si>
    <t>greenhouse|coinbase|7942306</t>
  </si>
  <si>
    <t>Coinbase</t>
  </si>
  <si>
    <t>coinbase</t>
  </si>
  <si>
    <t>7942306</t>
  </si>
  <si>
    <t>AMLCO &amp; Senior Compliance Associate</t>
  </si>
  <si>
    <t>Remote - Cyprus</t>
  </si>
  <si>
    <t>https://www.coinbase.com/careers/positions/7942306?gh_jid=7942306</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</si>
  <si>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</si>
  <si>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greenhouse|coinbase|8020892</t>
  </si>
  <si>
    <t>8020892</t>
  </si>
  <si>
    <t>Analytics Engineer</t>
  </si>
  <si>
    <t>Remote - USA</t>
  </si>
  <si>
    <t>https://www.coinbase.com/careers/positions/8020892?gh_jid=8020892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</si>
  <si>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</si>
  <si>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greenhouse|coinbase|8024880</t>
  </si>
  <si>
    <t>8024880</t>
  </si>
  <si>
    <t>Analytics Engineer, GFCO Analytics</t>
  </si>
  <si>
    <t>https://www.coinbase.com/careers/positions/8024880?gh_jid=8024880</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</si>
  <si>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</si>
  <si>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greenhouse|coinbase|8031260</t>
  </si>
  <si>
    <t>8031260</t>
  </si>
  <si>
    <t>Machine Learning Engineer, CX Intelligence</t>
  </si>
  <si>
    <t>Remote - Brazil</t>
  </si>
  <si>
    <t>https://www.coinbase.com/careers/positions/8031260?gh_jid=8031260</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</si>
  <si>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</si>
  <si>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greenhouse|coinbase|7984814</t>
  </si>
  <si>
    <t>7984814</t>
  </si>
  <si>
    <t>Payments Risk Analyst II</t>
  </si>
  <si>
    <t>https://www.coinbase.com/careers/positions/7984814?gh_jid=7984814</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</si>
  <si>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</si>
  <si>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greenhouse|coinbase|7736521</t>
  </si>
  <si>
    <t>7736521</t>
  </si>
  <si>
    <t>Senior Analytics Engineer (Platform - Financial Analytics)</t>
  </si>
  <si>
    <t>https://www.coinbase.com/careers/positions/7736521?gh_jid=7736521</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</si>
  <si>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</si>
  <si>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greenhouse|coinbase|8009392</t>
  </si>
  <si>
    <t>8009392</t>
  </si>
  <si>
    <t>Senior Data Scientist, CX Analytics</t>
  </si>
  <si>
    <t>https://www.coinbase.com/careers/positions/8009392?gh_jid=8009392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</si>
  <si>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</si>
  <si>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greenhouse|coinbase|7739592</t>
  </si>
  <si>
    <t>7739592</t>
  </si>
  <si>
    <t>Senior Machine Learning Engineer</t>
  </si>
  <si>
    <t>Remote - India</t>
  </si>
  <si>
    <t>https://www.coinbase.com/careers/positions/7739592?gh_jid=7739592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</si>
  <si>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</si>
  <si>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greenhouse|coinbase|8008569</t>
  </si>
  <si>
    <t>8008569</t>
  </si>
  <si>
    <t>Senior Machine Learning Engineer, CX Intelligence</t>
  </si>
  <si>
    <t>https://www.coinbase.com/careers/positions/8008569?gh_jid=8008569</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</si>
  <si>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</si>
  <si>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greenhouse|coinbase|8008047</t>
  </si>
  <si>
    <t>8008047</t>
  </si>
  <si>
    <t>Senior Program Manager, Contracts &amp; Analytics</t>
  </si>
  <si>
    <t>https://www.coinbase.com/careers/positions/8008047?gh_jid=8008047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</si>
  <si>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</si>
  <si>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greenhouse|coinbase|7891045</t>
  </si>
  <si>
    <t>7891045</t>
  </si>
  <si>
    <t>Staff Machine Learning Engineer(Platform - Identity)</t>
  </si>
  <si>
    <t>https://www.coinbase.com/careers/positions/7891045?gh_jid=7891045</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</si>
  <si>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</si>
  <si>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greenhouse|coinbase|8002967</t>
  </si>
  <si>
    <t>8002967</t>
  </si>
  <si>
    <t>Staff ML Risk Analyst</t>
  </si>
  <si>
    <t>https://www.coinbase.com/careers/positions/8002967?gh_jid=8002967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</si>
  <si>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</si>
  <si>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greenhouse|coinbase|8024877</t>
  </si>
  <si>
    <t>8024877</t>
  </si>
  <si>
    <t>Technical Program Manager, GFCO Analytics</t>
  </si>
  <si>
    <t>https://www.coinbase.com/careers/positions/8024877?gh_jid=8024877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</si>
  <si>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</si>
  <si>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greenhouse|anthropic|5198108008</t>
  </si>
  <si>
    <t>Anthropic</t>
  </si>
  <si>
    <t>anthropic</t>
  </si>
  <si>
    <t>5198108008</t>
  </si>
  <si>
    <t>Research Engineer, Machine Learning (RL Velocity)</t>
  </si>
  <si>
    <t>Remote-Friendly (Travel-Required) | San Francisco, CA | New York City, NY</t>
  </si>
  <si>
    <t>https://job-boards.greenhouse.io/anthropic/jobs/5198108008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</si>
  <si>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</si>
  <si>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greenhouse|intercom|8030046</t>
  </si>
  <si>
    <t>Intercom</t>
  </si>
  <si>
    <t>intercom</t>
  </si>
  <si>
    <t>8030046</t>
  </si>
  <si>
    <t>Director, Product Analytics</t>
  </si>
  <si>
    <t>Berlin, Germany; Dublin, Ireland; EMEA, Remote; London, England</t>
  </si>
  <si>
    <t>https://job-boards.greenhouse.io/intercom/jobs/8030046</t>
  </si>
  <si>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</si>
  <si>
    <t>greenhouse|hume ai|4816209008</t>
  </si>
  <si>
    <t>Hume AI</t>
  </si>
  <si>
    <t>humeai</t>
  </si>
  <si>
    <t>4816209008</t>
  </si>
  <si>
    <t>Senior Software Engineer - Backend &amp; Machine Learning</t>
  </si>
  <si>
    <t>New York, New York, United States</t>
  </si>
  <si>
    <t>https://job-boards.greenhouse.io/humeai/jobs/4816209008</t>
  </si>
  <si>
    <t>Hume AI is seeking a talented senior software engineer with experience in backend services and ML infrastructure who is interested in working with our team to build state-of-the-art audio models and evaluation tools. Join us in the heart of New York City and contribute to our endeavor to ensure that AI is guided by human values, the most pivotal challenge (and opportunity) of the 21st century. About Us Hume AI is a Series B startup dedicated to building artificial intelligence that is directly optimized for human well-being. As the first company to release speech language models, we’re focused on expanding our research to encompass audio understanding models and evaluation platforms for enterprises. Our goal is to enable a future in which technology draws on an understanding of human emotional expression to better serve human goals. As part of our mission, we also conduct groundbreaking scientific research, publish in leading scientific journals like Nature , and support a non-profit, The Hume Initiative, that has released the first concrete ethical guidelines for empathic AI ( www.thehumeinitiative.org ). You can learn more about us on our website ( https://hume.ai/ ) and read about us in WIRED , Forbes , and Venturebeat . About the Role We are looking for an experienced and motivated senior engineer with experience in backend services and ML infrastructure. In this role you will help us integrate cutting edge AI models into services and toolkits for researchers and developers. You will work closely with research scientists and other engineers to build new capabilities into the Hume platform, and you will have the opportunity to take part in a wide range of engineering initiatives across backend applications, cloud infrastructure, and the ML lifecycle, including evaluation and deployment at scale. Requirements Expertise in the Python ecosystem and popular ML libraries and tools (e.g. PyTorch, JAX, TensorFlow, XGBoost, sklearn, pandas, numpy). Experience building and deploying models for inference services. Experience writing backend services in multiple languages (e.g. Kotlin, Go, Rust, Java, C++). Understanding of core ML concepts including model architecture, training, and evaluation. Expertise working with storage and compute on a cloud platform (e.g.Google Cloud, AWS). Excellent communication and collaboration skills. Bonus Familiarity with data engineering principles and/or building large-scale data pipelines. Familiarity with building and deploying LLM-integrated products. Experience working at the intersection of machine learning research and engineering. Understanding of modern deployment strategies utilizing cloud technologies. (e.g. blue/green, canary deployments, etc). Experience using service deployment tooling (e.g. Kubernetes, Helm, Docker, Argo). Application Note Please apply only to the position that best aligns with your qualifications. If you submit multiple applications or have applied within the past 6 months, only your initial submission will be considered. Annual Salary $180,000 — $250,000 USD</t>
  </si>
  <si>
    <t>ashby|elevenlabs|e53c5be6-5c1a-4870-ad85-8397a1f201de</t>
  </si>
  <si>
    <t>ElevenLabs</t>
  </si>
  <si>
    <t>elevenlabs</t>
  </si>
  <si>
    <t>e53c5be6-5c1a-4870-ad85-8397a1f201de</t>
  </si>
  <si>
    <t>United Kingdom</t>
  </si>
  <si>
    <t>https://jobs.ashbyhq.com/elevenlabs/e53c5be6-5c1a-4870-ad85-8397a1f201de</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</si>
  <si>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</si>
  <si>
    <t>ashby|deepgram|378e83b4-28c0-4b4e-8cf0-9355712bd06d</t>
  </si>
  <si>
    <t>Deepgram</t>
  </si>
  <si>
    <t>deepgram</t>
  </si>
  <si>
    <t>378e83b4-28c0-4b4e-8cf0-9355712bd06d</t>
  </si>
  <si>
    <t>Billing &amp; Analytics Software Engineer</t>
  </si>
  <si>
    <t>USA | Remote</t>
  </si>
  <si>
    <t>https://jobs.ashbyhq.com/deepgram/378e83b4-28c0-4b4e-8cf0-9355712bd06d</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</si>
  <si>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</si>
  <si>
    <t>ashby|deepgram|9a030b32-d671-43e0-a221-4653bb73ba29</t>
  </si>
  <si>
    <t>9a030b32-d671-43e0-a221-4653bb73ba29</t>
  </si>
  <si>
    <t>Research Engineer, Machine Learning Systems</t>
  </si>
  <si>
    <t>https://jobs.ashbyhq.com/deepgram/9a030b32-d671-43e0-a221-4653bb73ba29</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</si>
  <si>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</si>
  <si>
    <t>ashby|n8n|edd9e287-262e-4fcb-8aa5-2067e6526efa</t>
  </si>
  <si>
    <t>n8n</t>
  </si>
  <si>
    <t>edd9e287-262e-4fcb-8aa5-2067e6526efa</t>
  </si>
  <si>
    <t>Product Data Analyst</t>
  </si>
  <si>
    <t>Europe</t>
  </si>
  <si>
    <t>https://jobs.ashbyhq.com/n8n/edd9e287-262e-4fcb-8aa5-2067e6526efa</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</si>
  <si>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</si>
  <si>
    <t>greenhouse|boomi|5779584004</t>
  </si>
  <si>
    <t>Boomi</t>
  </si>
  <si>
    <t>boomilp</t>
  </si>
  <si>
    <t>5779584004</t>
  </si>
  <si>
    <t>Senior Data Engineer - Agentic AI Engineering</t>
  </si>
  <si>
    <t>United States of America</t>
  </si>
  <si>
    <t>https://boomi.com/boomi-jobs/?gh_jid=5779584004</t>
  </si>
  <si>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</si>
  <si>
    <t>ashby|cohere|3136a5a5-06fd-4c82-8b72-a43467e6b128</t>
  </si>
  <si>
    <t>Cohere</t>
  </si>
  <si>
    <t>cohere</t>
  </si>
  <si>
    <t>3136a5a5-06fd-4c82-8b72-a43467e6b128</t>
  </si>
  <si>
    <t>Member of Technical Staff, Modeling</t>
  </si>
  <si>
    <t>London</t>
  </si>
  <si>
    <t>https://jobs.ashbyhq.com/cohere/3136a5a5-06fd-4c82-8b72-a43467e6b128</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</si>
  <si>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</si>
  <si>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ashby|cohere|39cab400-c976-41d9-9002-880ac6985b64</t>
  </si>
  <si>
    <t>39cab400-c976-41d9-9002-880ac6985b64</t>
  </si>
  <si>
    <t>Lead Data Scientist</t>
  </si>
  <si>
    <t>https://jobs.ashbyhq.com/cohere/39cab400-c976-41d9-9002-880ac6985b64</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</si>
  <si>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</si>
  <si>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ashby|cohere|36d1f52f-8270-4652-adf5-5303a0ff341b</t>
  </si>
  <si>
    <t>36d1f52f-8270-4652-adf5-5303a0ff341b</t>
  </si>
  <si>
    <t>Machine Learning Intern/Co-op  (Fall, 2026)</t>
  </si>
  <si>
    <t>Canada</t>
  </si>
  <si>
    <t>https://jobs.ashbyhq.com/cohere/36d1f52f-8270-4652-adf5-5303a0ff341b</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</si>
  <si>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</si>
  <si>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ashby|cohere|582c4a60-14a2-49d5-b4d3-24c4ec50508d</t>
  </si>
  <si>
    <t>582c4a60-14a2-49d5-b4d3-24c4ec50508d</t>
  </si>
  <si>
    <t>Senior Technical Program Manager, Machine Learning Infrastructure</t>
  </si>
  <si>
    <t>https://jobs.ashbyhq.com/cohere/582c4a60-14a2-49d5-b4d3-24c4ec50508d</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</si>
  <si>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</si>
  <si>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greenhouse|celonis|7725788003</t>
  </si>
  <si>
    <t>Celonis</t>
  </si>
  <si>
    <t>celonis</t>
  </si>
  <si>
    <t>7725788003</t>
  </si>
  <si>
    <t>Associate Value Engineer (AI-Driven Data Science &amp; Analytics) - Orbit Program</t>
  </si>
  <si>
    <t>New York, US, New York</t>
  </si>
  <si>
    <t>https://job-boards.greenhouse.io/celonis/jobs/7725788003?gh_jid=7725788003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</si>
  <si>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</si>
  <si>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greenhouse|celonis|7781716003</t>
  </si>
  <si>
    <t>7781716003</t>
  </si>
  <si>
    <t>Raleigh, US, North Carolina</t>
  </si>
  <si>
    <t>https://job-boards.greenhouse.io/celonis/jobs/7781716003?gh_jid=7781716003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</si>
  <si>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</si>
  <si>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greenhouse|contentful|7560356</t>
  </si>
  <si>
    <t>Contentful</t>
  </si>
  <si>
    <t>contentful</t>
  </si>
  <si>
    <t>7560356</t>
  </si>
  <si>
    <t>Senior Business Intelligence Analyst</t>
  </si>
  <si>
    <t>Denver, Colorado, United States</t>
  </si>
  <si>
    <t>https://job-boards.greenhouse.io/contentful/jobs/7560356</t>
  </si>
  <si>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</si>
  <si>
    <t>greenhouse|hellofresh|7977373</t>
  </si>
  <si>
    <t>HelloFresh</t>
  </si>
  <si>
    <t>hellofresh</t>
  </si>
  <si>
    <t>7977373</t>
  </si>
  <si>
    <t>Claims &amp; Risk Analyst</t>
  </si>
  <si>
    <t>Boulder, Colorado, United States; Irving, TX, United States; New York, NY, United States</t>
  </si>
  <si>
    <t>https://careers.hellofresh.com/global/en/job/7977373?gh_jid=7977373</t>
  </si>
  <si>
    <t>HelloFresh is seeking a Claims &amp; Risk Analyst to join our team! As a Claims &amp; Risk Analyst, you will support day-to-day operations across claims management, reporting, and insurance program administration. This role is primarily focused on supporting our Workers' Compensation program, while also assisting with a smaller portfolio of general liability, property, subrogation (recovery), and commercial auto claims as needed. You will play a key role in ensuring claims are managed efficiently from intake through resolution by supporting claim intake, tracking, reporting, and timely claim processing. You'll maintain accurate claims data and dashboards while coordinating with internal stakeholders, third-party administrators (TPAs), carriers, and brokers to help drive claims toward successful resolution. This position offers the opportunity to gain broad exposure across corporate risk management, including claims oversight, data analytics, return-to-work programs, insurance renewals, and continuous process improvement. You will... Manage claim intake end-to-end, including FNOL processing, initial review, severity assignment, and escalation identification Monitor and support claims throughout the lifecycle by handling routine follow-ups, identifying aging or high-risk claims, and coordinating with adjusters to ensure timely progression Prepare and support bi-weekly claim reviews, including compiling data, tracking action items, and maintaining TPA performance metrics Build, maintain, and validate dashboards and reports across claims, trends, KPIs, and loss data to ensure accuracy and consistency Analyze claims data to identify trends, emerging risks, and recurring root causes, and partner with internal stakeholders to support action planning Track Return-to-Work progression for injured workers, and compliance-related data, including audit support and timely updates across systems Track and support subrogation and recovery efforts, including follow-ups on outstanding items and documentation Assist with insurance program administration, including exposure data collection, renewal support, and submission preparation Review claim files and collaborate with TPAs on reserve adequacy and claim strategy Partner cross-functionally to gather required documentation and support efficient claim processing Participate in regular calls with carriers, brokers, and TPAs to support claim oversight and program execution Support additional risk management and claims-related tasks as needed At a minimum, you have... 2–3 years experience with workers' compensation claims, either as a claims adjuster or through direct involvement of an employer's Workers' Compensation program within a risk management function. Bachelor’s degree preferred; will consider high school diploma with 2+ years of experience listed above ARM, CPCU, CRM, AIC or other risk/insurance designations preferred but not required Strong Excel and data analysis capabilities; Power BI and/or RMIS experience is a plus A proactive and self-motivated mindset and are highly responsive to meeting the needs of our internal and external customer Ability to work both independently and collaboratively in a team environment, while effectively prioritizing tasks and managing time Ability to adapt to changing business needs, with a flexible approach to shifting priorities, processes, and responsibilities You’ll get… Competitive Salary &amp; 401k company match that vests immediately upon participation Generous parental leave of 16 weeks &amp; PTO policy $0 monthly premium and other flexible health plans 85% discount on your subscription to HelloFresh (as well as other product initiatives) Employee Resource Groups Collaborative, dynamic work environment within a fast-paced, mission-driven company This job description is intended to provide a general overview of the responsibilities. However, the Company reserves the right to adjust, modify, or reassign work tasks and responsibilities as needed to meet changing business needs, operational requirements, or other factors. New York Pay Range $68,040 — $81,000 USD Colorado Pay Range $63,000 — $75,000 USD</t>
  </si>
  <si>
    <t>greenhouse|sumup|8596342002</t>
  </si>
  <si>
    <t>SumUp</t>
  </si>
  <si>
    <t>sumup</t>
  </si>
  <si>
    <t>8596342002</t>
  </si>
  <si>
    <t>Data Analytics Engineer - Boulder, Colorado</t>
  </si>
  <si>
    <t>Boulder, Colorado, United States</t>
  </si>
  <si>
    <t>https://sumup.com/careers/positions/8596342002?gh_jid=8596342002</t>
  </si>
  <si>
    <t>Data Analytics Engineer — Boulder, Colorado Full-time | Boulder, CO | No visa sponsorship available The US Analytics team is building the data foundations that power SumUp's US operations. We design reliable data models, keep our infrastructure clean, and turn complex datasets into insights the business can act on. You'll join at a point where there's real work to own — from shaping how data is structured to improving the tools and dashboards that teams rely on every day. If you're someone who's been close to data in an analytical role and is ready to go deeper into how it's built and maintained, this is a meaningful next step. 👉 Take a look at our Boulder office What you'll do Build, maintain, and document DBT models in a Snowflake environment, keeping data clean, reliable, and well-structured Develop and maintain Tableau dashboards and data sources that stakeholders across the business trust and use independently Rotate through day-to-day data operations support — handling ad hoc requests, troubleshooting reporting issues, and diagnosing pipeline problems Contribute to modernizing our data infrastructure, helping business stakeholders self-serve through AI-assisted tooling Own stakeholder relationships independently — gathering requirements, setting clear expectations, and communicating confidently with technical and non-technical audiences alike You'll be great for this role if… Strong experience building or structuring datasets — not just querying them based on others work Solid SQL and DBT Core skills, hands-on experience with Snowflake and Proven ability to build Tableau dashboards that stakeholders genuinely rely on Strong communicator who can own stakeholder conversations, gather requirements, manage expectations, and push back when a request isn't clearly defined High attention to data quality and the confidence to work through problems independently before escalating Familiarity with AI-assisted data tools such as GitHub Copilot or Cursor Familiarity with Salesforce Bonus points for: Advanced DBT experience Experience with self-serve or semantic data layers Contributions to an AI agent knowledge base or prompt engineering work Understanding of the limitations of LLMs when applied to data problems Previous experience in a fast paced, team environment Why you should join SumUp 🌍 Opportunity to work with SumUppers globally on large-scale fintech products used by millions of businesses worldwide, from our Boulder office. This involves an office-first setup 🚀 Enrollment onto our Virtual Stock Option program: you will own a stake in SumUp's future success 📚 A dedicated annual learning budget of $2,000 for your individual development, which can be used to attend conferences and/or advance your career through further education 🏖 Generous time off: 22 days of paid vacation, plus an extra day each year up to 28 days, public holidays, and special leaves 🏥 Health and life coverage: group medical coverage, plus life insurance 💼 Financial security: 401(k) retirement scheme with SumUp matching funds 🌴 Break4me: 1-month sabbatical after 3 years of service 🌈 Commitment to Diversity and Inclusion: be part of a workplace that values and promotes diversity, fostering an inclusive environment where everyone's perspectives are respected and embraced Compensation: $100,000–$120,000 base salary Virtual Stock Options Final compensation will be based on the candidate's experience and location About SumUp Be empowered to do more that matters. At SumUp, we're on a mission to empower small businesses across the globe by providing simple and affordable tools that allow them to thrive. Today, over 4 million businesses in 37 markets rely on SumUp as their financial partner to manage payments, finance and customer relationships. Our commitment to small businesses is reflected in our diverse team of over 4,000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careers website , and follow our journey on LinkedIn , Instagram , and TikTok . Job Application Tip We recognise that candidates feel they need to meet 100% of the job criteria in order to apply for a job. Please note that this is only a guide. If you don’t tick every box, it’s ok too because it means you have room to learn and develop your career at SumUp.</t>
  </si>
  <si>
    <t>greenhouse|sumup|8558683002</t>
  </si>
  <si>
    <t>8558683002</t>
  </si>
  <si>
    <t>Outside Sales Account Executive - Kansas City, MO</t>
  </si>
  <si>
    <t>Missouri, United States</t>
  </si>
  <si>
    <t>https://sumup.com/careers/positions/8558683002?gh_jid=8558683002</t>
  </si>
  <si>
    <t>SUMUP IS HIRING for the greater Kansas City Area... This is a Field Sales role Who You Are You are a sales professional with 1-5 years of experience, who is bright and driven, looking for a genuine opportunity where you can be with a company for a long time. In fact, you are GREAT, you are going places, so you are looking for a home where your commissions are uncapped, though you also need that base salary to pay immediate bills. You’re also looking for somewhere that allows you to move up internally, because you’ll need that, and to work with an interesting technical product that actually makes a real difference in the world. You care about helping others and your local neighborhood. You want a start-up atmosphere, but you also want stability in rocky times and good benefits, and you want to work with other great people who are fun and above all make you better than you ever thought you could be. SumUp supports a diverse community of professionals with various backgrounds and lived experiences. There is no “perfect candidate” for this role. We are simply searching for people that are driven to succeed in helping SumUp continue delivering on our values and making our customers successful. A Day In Your Life Armed with a good understanding of the product from training, you will build a sales pipeline by developing relationships with local businesses. We will show you how. You will make their life easier by selling a payment and loyalty solution that turns their small enterprise into the heartbeat of the block. Over 3 million merchants use us because our products are good. This is going to require research however, and cold calling, and knocking on doors, and above all empathy and kindness for your customer’s needs. The Role You Would Fill Full sales cycle management including territory based prospecting and canvassing Cold Calling for new business leads Research (play smarter not harder) Use our CRM to track performance and ensure communication and success Your Background 1-5 years of sales experience Reliable transportation Experience in retail, hospitality, B2B and/or SAAS sales is always a plus. If you don’t have this, please don’t let this stop you from applying Who we are SumUp is a fast-growing fintech firm that helps local families and businesses by allowing them to receive payments quickly and simply, both in-store and online. We are no small cheese because we have over 3000 employees and work in over 34 countries. But most importantly we are relied upon by merchants of all sizes from DHL to taxi drivers. A few details of the role include: Starting Compensation: On-target-earnings (OTE) $107,000 with uncapped commission. Opportunities for advancement and increased compensation based on performance. 22 days of annual PTO plus 11 paid holidays 401K matching Great medical, dental and vision benefits. #SumUpUSA Job Application Tip We recognise that candidates feel they need to meet 100% of the job criteria in order to apply for a job. Please note that this is only a guide. If you don’t tick every box, it’s ok too because it means you have room to learn and develop your career at SumUp.</t>
  </si>
  <si>
    <t>ashby|photoroom|62fccba8-2ec8-4411-9b38-10db8055f69c</t>
  </si>
  <si>
    <t>Photoroom</t>
  </si>
  <si>
    <t>photoroom</t>
  </si>
  <si>
    <t>62fccba8-2ec8-4411-9b38-10db8055f69c</t>
  </si>
  <si>
    <t>Senior Software Engineer (FastAPI &amp; Async Python)</t>
  </si>
  <si>
    <t>Paris | Remote</t>
  </si>
  <si>
    <t>https://jobs.ashbyhq.com/photoroom/62fccba8-2ec8-4411-9b38-10db8055f69c</t>
  </si>
  <si>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</si>
  <si>
    <t>greenhouse|isomorphic labs|5460704004</t>
  </si>
  <si>
    <t>Isomorphic Labs</t>
  </si>
  <si>
    <t>isomorphiclabs</t>
  </si>
  <si>
    <t>5460704004</t>
  </si>
  <si>
    <t>Research Scientist (Machine Learning), Lausanne</t>
  </si>
  <si>
    <t>Lausanne</t>
  </si>
  <si>
    <t>https://job-boards.greenhouse.io/isomorphiclabs/jobs/5460704004</t>
  </si>
  <si>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</si>
  <si>
    <t>greenhouse|physicsx|4880922101</t>
  </si>
  <si>
    <t>PhysicsX</t>
  </si>
  <si>
    <t>physicsx</t>
  </si>
  <si>
    <t>4880922101</t>
  </si>
  <si>
    <t>San Francisco, United States</t>
  </si>
  <si>
    <t>https://job-boards.eu.greenhouse.io/physicsx/jobs/4880922101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</si>
  <si>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</si>
  <si>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greenhouse|physicsx|4849382101</t>
  </si>
  <si>
    <t>4849382101</t>
  </si>
  <si>
    <t>Machine Learning Engineer</t>
  </si>
  <si>
    <t xml:space="preserve">New York, United States </t>
  </si>
  <si>
    <t>https://job-boards.eu.greenhouse.io/physicsx/jobs/4849382101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</si>
  <si>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</si>
  <si>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greenhouse|physicsx|4852973101</t>
  </si>
  <si>
    <t>4852973101</t>
  </si>
  <si>
    <t>Senior Computer Vision Data Scientist</t>
  </si>
  <si>
    <t>New York, United States</t>
  </si>
  <si>
    <t>https://job-boards.eu.greenhouse.io/physicsx/jobs/4852973101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</si>
  <si>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</si>
  <si>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greenhouse|physicsx|4678291101</t>
  </si>
  <si>
    <t>4678291101</t>
  </si>
  <si>
    <t>https://job-boards.eu.greenhouse.io/physicsx/jobs/4678291101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</si>
  <si>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</si>
  <si>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ashby|faculty|064b8c9e-eddc-486f-a013-1560fc4b6254</t>
  </si>
  <si>
    <t>Faculty</t>
  </si>
  <si>
    <t>faculty</t>
  </si>
  <si>
    <t>064b8c9e-eddc-486f-a013-1560fc4b6254</t>
  </si>
  <si>
    <t>Senior Data Scientist</t>
  </si>
  <si>
    <t>UK - London</t>
  </si>
  <si>
    <t>https://jobs.ashbyhq.com/faculty/064b8c9e-eddc-486f-a013-1560fc4b6254</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</si>
  <si>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</si>
  <si>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ashby|faculty|07967907-b88f-4a1c-8a7b-adebb0f7d58b</t>
  </si>
  <si>
    <t>07967907-b88f-4a1c-8a7b-adebb0f7d58b</t>
  </si>
  <si>
    <t xml:space="preserve">Senior Machine Learning Engineer </t>
  </si>
  <si>
    <t>https://jobs.ashbyhq.com/faculty/07967907-b88f-4a1c-8a7b-adebb0f7d58b</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</si>
  <si>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</si>
  <si>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ashby|faculty|168cb0e1-daea-42d5-ac09-e12a61cf72ca</t>
  </si>
  <si>
    <t>168cb0e1-daea-42d5-ac09-e12a61cf72ca</t>
  </si>
  <si>
    <t xml:space="preserve">Machine Learning Engineer </t>
  </si>
  <si>
    <t>UK - Remote</t>
  </si>
  <si>
    <t>https://jobs.ashbyhq.com/faculty/168cb0e1-daea-42d5-ac09-e12a61cf72ca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</si>
  <si>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</si>
  <si>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ashby|faculty|27dee06f-ffaa-462e-9b91-888272ba5989</t>
  </si>
  <si>
    <t>27dee06f-ffaa-462e-9b91-888272ba5989</t>
  </si>
  <si>
    <t>Machine learning Engineer</t>
  </si>
  <si>
    <t>https://jobs.ashbyhq.com/faculty/27dee06f-ffaa-462e-9b91-888272ba5989</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</si>
  <si>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</si>
  <si>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ashby|faculty|27e13461-0792-4c98-94e5-a989cf4b8701</t>
  </si>
  <si>
    <t>27e13461-0792-4c98-94e5-a989cf4b8701</t>
  </si>
  <si>
    <t>https://jobs.ashbyhq.com/faculty/27e13461-0792-4c98-94e5-a989cf4b8701</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</si>
  <si>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</si>
  <si>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ashby|faculty|3c808ef2-1d15-4352-bf87-93fef11027d1</t>
  </si>
  <si>
    <t>3c808ef2-1d15-4352-bf87-93fef11027d1</t>
  </si>
  <si>
    <t>Lead Machine Learning Engineer</t>
  </si>
  <si>
    <t>https://jobs.ashbyhq.com/faculty/3c808ef2-1d15-4352-bf87-93fef11027d1</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</si>
  <si>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</si>
  <si>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ashby|faculty|536bd41c-0588-48df-aba3-1ed5e7afcb55</t>
  </si>
  <si>
    <t>536bd41c-0588-48df-aba3-1ed5e7afcb55</t>
  </si>
  <si>
    <t xml:space="preserve">Senior Data Scientist </t>
  </si>
  <si>
    <t>https://jobs.ashbyhq.com/faculty/536bd41c-0588-48df-aba3-1ed5e7afcb55</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</si>
  <si>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</si>
  <si>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ashby|faculty|553927aa-2c38-4257-99af-4c0255327006</t>
  </si>
  <si>
    <t>553927aa-2c38-4257-99af-4c0255327006</t>
  </si>
  <si>
    <t xml:space="preserve">Lead Machine Learning Engineer </t>
  </si>
  <si>
    <t>https://jobs.ashbyhq.com/faculty/553927aa-2c38-4257-99af-4c0255327006</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</si>
  <si>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</si>
  <si>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ashby|faculty|6637dc01-5a7c-40cd-94a0-91d9c4006b4a</t>
  </si>
  <si>
    <t>6637dc01-5a7c-40cd-94a0-91d9c4006b4a</t>
  </si>
  <si>
    <t>https://jobs.ashbyhq.com/faculty/6637dc01-5a7c-40cd-94a0-91d9c4006b4a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</si>
  <si>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</si>
  <si>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ashby|faculty|70340093-7182-4d2c-b0d4-f383190856bf</t>
  </si>
  <si>
    <t>70340093-7182-4d2c-b0d4-f383190856bf</t>
  </si>
  <si>
    <t>https://jobs.ashbyhq.com/faculty/70340093-7182-4d2c-b0d4-f383190856bf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</si>
  <si>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</si>
  <si>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ashby|faculty|76c7b295-da94-4e83-813b-25b1766f92a0</t>
  </si>
  <si>
    <t>76c7b295-da94-4e83-813b-25b1766f92a0</t>
  </si>
  <si>
    <t xml:space="preserve">Lead Data Scientist </t>
  </si>
  <si>
    <t>https://jobs.ashbyhq.com/faculty/76c7b295-da94-4e83-813b-25b1766f92a0</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</si>
  <si>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</si>
  <si>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ashby|faculty|7a6e49b5-3f14-4d23-9abe-ec285ce7ee2e</t>
  </si>
  <si>
    <t>7a6e49b5-3f14-4d23-9abe-ec285ce7ee2e</t>
  </si>
  <si>
    <t>https://jobs.ashbyhq.com/faculty/7a6e49b5-3f14-4d23-9abe-ec285ce7ee2e</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</si>
  <si>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</si>
  <si>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ashby|faculty|8c211ad2-133d-413f-b65f-31d02f672113</t>
  </si>
  <si>
    <t>8c211ad2-133d-413f-b65f-31d02f672113</t>
  </si>
  <si>
    <t>https://jobs.ashbyhq.com/faculty/8c211ad2-133d-413f-b65f-31d02f672113</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</si>
  <si>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</si>
  <si>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ashby|faculty|92c892cd-1f6c-443d-9cd8-e4902f9b7fb6</t>
  </si>
  <si>
    <t>92c892cd-1f6c-443d-9cd8-e4902f9b7fb6</t>
  </si>
  <si>
    <t>https://jobs.ashbyhq.com/faculty/92c892cd-1f6c-443d-9cd8-e4902f9b7fb6</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</si>
  <si>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</si>
  <si>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ashby|faculty|a8ad6158-52b2-46b6-889b-7112d0f3b952</t>
  </si>
  <si>
    <t>a8ad6158-52b2-46b6-889b-7112d0f3b952</t>
  </si>
  <si>
    <t>Principal Machine Learning Engineer</t>
  </si>
  <si>
    <t>https://jobs.ashbyhq.com/faculty/a8ad6158-52b2-46b6-889b-7112d0f3b952</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</si>
  <si>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</si>
  <si>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ashby|faculty|aafc6889-c160-4172-b5ae-87a3557830d8</t>
  </si>
  <si>
    <t>aafc6889-c160-4172-b5ae-87a3557830d8</t>
  </si>
  <si>
    <t>https://jobs.ashbyhq.com/faculty/aafc6889-c160-4172-b5ae-87a3557830d8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</si>
  <si>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</si>
  <si>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ashby|faculty|b72b42b6-4fdf-4c6e-bee0-96e3cba3a84f</t>
  </si>
  <si>
    <t>b72b42b6-4fdf-4c6e-bee0-96e3cba3a84f</t>
  </si>
  <si>
    <t>https://jobs.ashbyhq.com/faculty/b72b42b6-4fdf-4c6e-bee0-96e3cba3a84f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</si>
  <si>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</si>
  <si>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ashby|faculty|bdbba013-af29-4028-addc-6f3d87ad657a</t>
  </si>
  <si>
    <t>bdbba013-af29-4028-addc-6f3d87ad657a</t>
  </si>
  <si>
    <t>https://jobs.ashbyhq.com/faculty/bdbba013-af29-4028-addc-6f3d87ad657a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</si>
  <si>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</si>
  <si>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ashby|faculty|c049f0ee-e6fc-43a3-9d45-6dace70ad06a</t>
  </si>
  <si>
    <t>c049f0ee-e6fc-43a3-9d45-6dace70ad06a</t>
  </si>
  <si>
    <t>https://jobs.ashbyhq.com/faculty/c049f0ee-e6fc-43a3-9d45-6dace70ad06a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</si>
  <si>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</si>
  <si>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ashby|faculty|c601a9d6-deea-4a17-b11c-32a99b9275a4</t>
  </si>
  <si>
    <t>c601a9d6-deea-4a17-b11c-32a99b9275a4</t>
  </si>
  <si>
    <t>https://jobs.ashbyhq.com/faculty/c601a9d6-deea-4a17-b11c-32a99b9275a4</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</si>
  <si>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</si>
  <si>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ashby|faculty|c61dad1a-ac89-4802-9bcc-4e31726a04e0</t>
  </si>
  <si>
    <t>c61dad1a-ac89-4802-9bcc-4e31726a04e0</t>
  </si>
  <si>
    <t>https://jobs.ashbyhq.com/faculty/c61dad1a-ac89-4802-9bcc-4e31726a04e0</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</si>
  <si>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</si>
  <si>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ashby|faculty|ddaee792-5e2b-4f87-aa60-761798762de5</t>
  </si>
  <si>
    <t>ddaee792-5e2b-4f87-aa60-761798762de5</t>
  </si>
  <si>
    <t>https://jobs.ashbyhq.com/faculty/ddaee792-5e2b-4f87-aa60-761798762de5</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</si>
  <si>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</si>
  <si>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ashby|faculty|efa8d13e-5166-4ae2-bf10-b1392afd3528</t>
  </si>
  <si>
    <t>efa8d13e-5166-4ae2-bf10-b1392afd3528</t>
  </si>
  <si>
    <t xml:space="preserve">Principal Data Scientist </t>
  </si>
  <si>
    <t>https://jobs.ashbyhq.com/faculty/efa8d13e-5166-4ae2-bf10-b1392afd3528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</si>
  <si>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</si>
  <si>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ashby|faculty|fd216949-66f6-4258-9e52-f2067503b75f</t>
  </si>
  <si>
    <t>fd216949-66f6-4258-9e52-f2067503b75f</t>
  </si>
  <si>
    <t xml:space="preserve">Data Scientist </t>
  </si>
  <si>
    <t>https://jobs.ashbyhq.com/faculty/fd216949-66f6-4258-9e52-f2067503b75f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</si>
  <si>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</si>
  <si>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greenhouse|amplemarket|4108094101</t>
  </si>
  <si>
    <t>Amplemarket</t>
  </si>
  <si>
    <t>amplemarket</t>
  </si>
  <si>
    <t>4108094101</t>
  </si>
  <si>
    <t>Spontaneous Application - Data Engineer</t>
  </si>
  <si>
    <t>Remote, EMEA/LATAM</t>
  </si>
  <si>
    <t>https://job-boards.eu.greenhouse.io/amplemarket/jobs/4108094101</t>
  </si>
  <si>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</si>
  <si>
    <t>ashby|perplexity|0190699f-010b-44f2-8399-278899fef018</t>
  </si>
  <si>
    <t>Perplexity</t>
  </si>
  <si>
    <t>perplexity</t>
  </si>
  <si>
    <t>0190699f-010b-44f2-8399-278899fef018</t>
  </si>
  <si>
    <t>Member of Technical Staff (Machine Learning Engineer, Search)</t>
  </si>
  <si>
    <t>Belgrade</t>
  </si>
  <si>
    <t>https://jobs.ashbyhq.com/perplexity/0190699f-010b-44f2-8399-278899fef018</t>
  </si>
  <si>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</si>
  <si>
    <t>ashby|perplexity|4615ca06-bea7-47e3-9e57-f5cee52b75e6</t>
  </si>
  <si>
    <t>4615ca06-bea7-47e3-9e57-f5cee52b75e6</t>
  </si>
  <si>
    <t>Member of Technical Staff (Data Scientist, Evals)</t>
  </si>
  <si>
    <t>San Francisco</t>
  </si>
  <si>
    <t>https://jobs.ashbyhq.com/perplexity/4615ca06-bea7-47e3-9e57-f5cee52b75e6</t>
  </si>
  <si>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</si>
  <si>
    <t>ashby|perplexity|768efd34-3854-4c9b-9686-2a128ab35405</t>
  </si>
  <si>
    <t>768efd34-3854-4c9b-9686-2a128ab35405</t>
  </si>
  <si>
    <t>Member of Technical Staff (Data Scientist/Engineer, Online Metrics)</t>
  </si>
  <si>
    <t>New York City</t>
  </si>
  <si>
    <t>https://jobs.ashbyhq.com/perplexity/768efd34-3854-4c9b-9686-2a128ab35405</t>
  </si>
  <si>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</si>
  <si>
    <t>ashby|clay labs|31d3597f-400e-4c12-9692-a5fb6f5e0d03</t>
  </si>
  <si>
    <t>Clay Labs</t>
  </si>
  <si>
    <t>claylabs</t>
  </si>
  <si>
    <t>31d3597f-400e-4c12-9692-a5fb6f5e0d03</t>
  </si>
  <si>
    <t>Data Analyst</t>
  </si>
  <si>
    <t>New York</t>
  </si>
  <si>
    <t>https://jobs.ashbyhq.com/claylabs/31d3597f-400e-4c12-9692-a5fb6f5e0d03</t>
  </si>
  <si>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</si>
  <si>
    <t>greenhouse|hightouch|5718912004</t>
  </si>
  <si>
    <t>Hightouch</t>
  </si>
  <si>
    <t>hightouch</t>
  </si>
  <si>
    <t>5718912004</t>
  </si>
  <si>
    <t>Forward Deployed Marketing Data Scientist</t>
  </si>
  <si>
    <t>Remote (North America)</t>
  </si>
  <si>
    <t>https://job-boards.greenhouse.io/hightouch/jobs/5718912004</t>
  </si>
  <si>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</si>
  <si>
    <t>greenhouse|hightouch|5775517004</t>
  </si>
  <si>
    <t>5775517004</t>
  </si>
  <si>
    <t>Head of Machine Learning</t>
  </si>
  <si>
    <t>https://job-boards.greenhouse.io/hightouch/jobs/5775517004</t>
  </si>
  <si>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</si>
  <si>
    <t>ashby|supabase|e7e19db2-8735-428b-bf22-c7109a3e336a</t>
  </si>
  <si>
    <t>Supabase</t>
  </si>
  <si>
    <t>supabase</t>
  </si>
  <si>
    <t>e7e19db2-8735-428b-bf22-c7109a3e336a</t>
  </si>
  <si>
    <t>Staff Data Analyst, GTM</t>
  </si>
  <si>
    <t>Remote</t>
  </si>
  <si>
    <t>https://jobs.ashbyhq.com/supabase/e7e19db2-8735-428b-bf22-c7109a3e336a</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</si>
  <si>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Staff Data Analyst, GTM to join our Data Intelligence team and help build the analytical foundation that powers Supabase's growing sales org. You'll work closely with Sales, Customer Success, and GTM Ops, helping us connect the dots between systems, data, and strategy -- turning raw signals into trusted data products and actionable insight for GTM leadership.
This role is ideal for someone who thrives in async, fast-paced environments, is AI-forward in how they work, and is excited about building something from the ground up alongside a scaling sales team.
WHAT YOU’LL BE RESPONSIBLE FOR
GTM Data Products
 - Build and own the canonical data products that Sales, CS, and GTM Ops rely on -- ARR, pipeline, account health, expansion signals, and renewal tracking
 - Define and document GTM metric standards so the whole org is working from consistent definitions
 - Build and maintain the underlying data models that power GTM reporting and analysis
Stakeholder Partnership
 - Serve as the dedicated analytical resource for Sales, Customer Success, and GTM Ops leadership
 - Translate business questions into clean analytical specs and deliver decision-ready findings
 - Build self-service tools and context layers that enable GTM teams to answer their own questions -- the goal is scale, not dependency
 - Own the GTM analytics function end-to-end, from data model to business strategy
Systems and Data Connectivity
 - Connect the dots between CRM, product usage, and billing data to give GTM teams a complete picture of the customer
 - Identify gaps and inconsistencies across systems and work cross-functionally to resolve them
AI-Powered Analysis
 - Use AI tools to accelerate analysis, increase output, and go deeper than a traditional analyst workflow allows
 - Help establish AI-forward ways of working within the Data Intelligence team and model that approach for the broader GTM org
YOU MIGHT BE A GOOD FIT IF YOU
 - Have 6+ years in analytics with meaningful time directly supporting Sales, Customer Success, or GTM Ops
 - Have built data models and BI layers from scratch, not just consumed them -- you understand the full stack from raw source data to business-facing output
 - Are comfortable working with CRM, product usage, and billing data and know how to connect them into a coherent picture of the customer
 - Have experience in a PLG or usage-based business and understand how self-serve signals translate into sales motion
 - Think in terms of self-service and scale -- your instinct is to build tools that make GTM teams independently capable, not to become a bottleneck
 - Can hold both the technical and strategic context at once -- you're as comfortable in a data model as you are in a conversation about territory design or expansion strategy
 - Are AI-forward in how you work -- you use LLMs and AI tooling habitually and have a clear point of view on how it changes what an analyst can do
 - Communicate insights clearly to non-technical stakeholders and know how to make data land in a business conversation
 - Thrive in async, autonomous environments and are energized by building something from the ground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</si>
  <si>
    <t>ashby|supabase|44f6de1c-0fdc-4d46-aa3e-7d57b8be38b2</t>
  </si>
  <si>
    <t>44f6de1c-0fdc-4d46-aa3e-7d57b8be38b2</t>
  </si>
  <si>
    <t>Senior Data Engineer</t>
  </si>
  <si>
    <t>https://jobs.ashbyhq.com/supabase/44f6de1c-0fdc-4d46-aa3e-7d57b8be38b2</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</si>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</sst>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
  <sheetViews>
    <sheetView tabSelected="1" workbookViewId="0">
      <pane ySplit="1" topLeftCell="A99" activePane="bottomLeft" state="frozen"/>
      <selection pane="bottomLeft" activeCell="M106" sqref="M106"/>
    </sheetView>
  </sheetViews>
  <sheetFormatPr defaultRowHeight="14.4"/>
  <sheetData>
    <row r="1" spans="1:13">
      <c r="A1" s="1" t="s">
        <v>0</v>
      </c>
      <c r="B1" s="1" t="s">
        <v>1</v>
      </c>
      <c r="C1" s="1" t="s">
        <v>2</v>
      </c>
      <c r="D1" s="1" t="s">
        <v>3</v>
      </c>
      <c r="E1" s="1" t="s">
        <v>4</v>
      </c>
      <c r="F1" s="1" t="s">
        <v>5</v>
      </c>
      <c r="G1" s="1" t="s">
        <v>6</v>
      </c>
      <c r="H1" s="1" t="s">
        <v>7</v>
      </c>
      <c r="I1" s="1" t="s">
        <v>8</v>
      </c>
      <c r="J1" s="1" t="s">
        <v>9</v>
      </c>
      <c r="K1" s="1" t="s">
        <v>10</v>
      </c>
      <c r="L1" s="1" t="s">
        <v>11</v>
      </c>
    </row>
    <row r="2" spans="1:13">
      <c r="A2" t="s">
        <v>12</v>
      </c>
      <c r="B2" t="s">
        <v>13</v>
      </c>
      <c r="C2" t="s">
        <v>14</v>
      </c>
      <c r="D2" t="s">
        <v>15</v>
      </c>
      <c r="E2" t="s">
        <v>16</v>
      </c>
      <c r="F2" t="s">
        <v>17</v>
      </c>
      <c r="G2" t="s">
        <v>18</v>
      </c>
      <c r="H2">
        <v>1</v>
      </c>
      <c r="I2">
        <v>0</v>
      </c>
      <c r="J2" t="s">
        <v>19</v>
      </c>
      <c r="K2" t="s">
        <v>20</v>
      </c>
      <c r="L2">
        <v>0</v>
      </c>
      <c r="M2" s="2">
        <f t="array" ref="M2">SUM((A2=$A$2:$A$127)*1)</f>
        <v>1</v>
      </c>
    </row>
    <row r="3" spans="1:13">
      <c r="A3" t="s">
        <v>21</v>
      </c>
      <c r="B3" t="s">
        <v>13</v>
      </c>
      <c r="C3" t="s">
        <v>14</v>
      </c>
      <c r="D3" t="s">
        <v>15</v>
      </c>
      <c r="E3" t="s">
        <v>22</v>
      </c>
      <c r="F3" t="s">
        <v>23</v>
      </c>
      <c r="G3" t="s">
        <v>18</v>
      </c>
      <c r="H3">
        <v>1</v>
      </c>
      <c r="I3">
        <v>0</v>
      </c>
      <c r="J3" t="s">
        <v>24</v>
      </c>
      <c r="K3" t="s">
        <v>25</v>
      </c>
      <c r="L3">
        <v>0</v>
      </c>
      <c r="M3" s="2">
        <f t="array" ref="M3">SUM((A3=$A$2:$A$127)*1)</f>
        <v>1</v>
      </c>
    </row>
    <row r="4" spans="1:13">
      <c r="A4" t="s">
        <v>26</v>
      </c>
      <c r="B4" t="s">
        <v>13</v>
      </c>
      <c r="C4" t="s">
        <v>14</v>
      </c>
      <c r="D4" t="s">
        <v>15</v>
      </c>
      <c r="E4" t="s">
        <v>27</v>
      </c>
      <c r="F4" t="s">
        <v>28</v>
      </c>
      <c r="G4" t="s">
        <v>18</v>
      </c>
      <c r="H4">
        <v>1</v>
      </c>
      <c r="I4">
        <v>0</v>
      </c>
      <c r="J4" t="s">
        <v>29</v>
      </c>
      <c r="K4" t="s">
        <v>30</v>
      </c>
      <c r="L4">
        <v>0</v>
      </c>
      <c r="M4" s="2">
        <f t="array" ref="M4">SUM((A4=$A$2:$A$127)*1)</f>
        <v>1</v>
      </c>
    </row>
    <row r="5" spans="1:13">
      <c r="A5" t="s">
        <v>31</v>
      </c>
      <c r="B5" t="s">
        <v>13</v>
      </c>
      <c r="C5" t="s">
        <v>14</v>
      </c>
      <c r="D5" t="s">
        <v>15</v>
      </c>
      <c r="E5" t="s">
        <v>32</v>
      </c>
      <c r="F5" t="s">
        <v>33</v>
      </c>
      <c r="G5" t="s">
        <v>18</v>
      </c>
      <c r="H5">
        <v>1</v>
      </c>
      <c r="I5">
        <v>0</v>
      </c>
      <c r="J5" t="s">
        <v>34</v>
      </c>
      <c r="K5" t="s">
        <v>35</v>
      </c>
      <c r="L5">
        <v>0</v>
      </c>
      <c r="M5" s="2">
        <f t="array" ref="M5">SUM((A5=$A$2:$A$127)*1)</f>
        <v>1</v>
      </c>
    </row>
    <row r="6" spans="1:13">
      <c r="A6" t="s">
        <v>36</v>
      </c>
      <c r="B6" t="s">
        <v>13</v>
      </c>
      <c r="C6" t="s">
        <v>14</v>
      </c>
      <c r="D6" t="s">
        <v>15</v>
      </c>
      <c r="E6" t="s">
        <v>37</v>
      </c>
      <c r="F6" t="s">
        <v>38</v>
      </c>
      <c r="G6" t="s">
        <v>18</v>
      </c>
      <c r="H6">
        <v>1</v>
      </c>
      <c r="I6">
        <v>0</v>
      </c>
      <c r="J6" t="s">
        <v>39</v>
      </c>
      <c r="K6" t="s">
        <v>40</v>
      </c>
      <c r="L6">
        <v>0</v>
      </c>
      <c r="M6" s="2">
        <f t="array" ref="M6">SUM((A6=$A$2:$A$127)*1)</f>
        <v>1</v>
      </c>
    </row>
    <row r="7" spans="1:13">
      <c r="A7" t="s">
        <v>41</v>
      </c>
      <c r="B7" t="s">
        <v>42</v>
      </c>
      <c r="C7" t="s">
        <v>43</v>
      </c>
      <c r="D7" t="s">
        <v>44</v>
      </c>
      <c r="E7" t="s">
        <v>45</v>
      </c>
      <c r="F7" t="s">
        <v>46</v>
      </c>
      <c r="G7" t="s">
        <v>47</v>
      </c>
      <c r="H7">
        <v>1</v>
      </c>
      <c r="I7">
        <v>0</v>
      </c>
      <c r="J7" t="s">
        <v>48</v>
      </c>
      <c r="K7" t="s">
        <v>49</v>
      </c>
      <c r="L7">
        <v>0</v>
      </c>
      <c r="M7" s="2">
        <f t="array" ref="M7">SUM((A7=$A$2:$A$127)*1)</f>
        <v>1</v>
      </c>
    </row>
    <row r="8" spans="1:13">
      <c r="A8" t="s">
        <v>50</v>
      </c>
      <c r="B8" t="s">
        <v>42</v>
      </c>
      <c r="C8" t="s">
        <v>43</v>
      </c>
      <c r="D8" t="s">
        <v>44</v>
      </c>
      <c r="E8" t="s">
        <v>51</v>
      </c>
      <c r="F8" t="s">
        <v>52</v>
      </c>
      <c r="G8" t="s">
        <v>47</v>
      </c>
      <c r="H8">
        <v>1</v>
      </c>
      <c r="I8">
        <v>0</v>
      </c>
      <c r="J8" t="s">
        <v>53</v>
      </c>
      <c r="K8" t="s">
        <v>54</v>
      </c>
      <c r="L8">
        <v>0</v>
      </c>
      <c r="M8" s="2">
        <f t="array" ref="M8">SUM((A8=$A$2:$A$127)*1)</f>
        <v>1</v>
      </c>
    </row>
    <row r="9" spans="1:13">
      <c r="A9" t="s">
        <v>55</v>
      </c>
      <c r="B9" t="s">
        <v>42</v>
      </c>
      <c r="C9" t="s">
        <v>43</v>
      </c>
      <c r="D9" t="s">
        <v>44</v>
      </c>
      <c r="E9" t="s">
        <v>56</v>
      </c>
      <c r="F9" t="s">
        <v>57</v>
      </c>
      <c r="G9" t="s">
        <v>47</v>
      </c>
      <c r="H9">
        <v>1</v>
      </c>
      <c r="I9">
        <v>0</v>
      </c>
      <c r="J9" t="s">
        <v>58</v>
      </c>
      <c r="K9" t="s">
        <v>59</v>
      </c>
      <c r="L9">
        <v>0</v>
      </c>
      <c r="M9" s="2">
        <f t="array" ref="M9">SUM((A9=$A$2:$A$127)*1)</f>
        <v>1</v>
      </c>
    </row>
    <row r="10" spans="1:13">
      <c r="A10" t="s">
        <v>60</v>
      </c>
      <c r="B10" t="s">
        <v>13</v>
      </c>
      <c r="C10" t="s">
        <v>61</v>
      </c>
      <c r="D10" t="s">
        <v>62</v>
      </c>
      <c r="E10" t="s">
        <v>63</v>
      </c>
      <c r="F10" t="s">
        <v>64</v>
      </c>
      <c r="G10" t="s">
        <v>65</v>
      </c>
      <c r="H10">
        <v>0</v>
      </c>
      <c r="I10">
        <v>0</v>
      </c>
      <c r="J10" t="s">
        <v>66</v>
      </c>
      <c r="K10" t="s">
        <v>67</v>
      </c>
      <c r="L10">
        <v>0</v>
      </c>
      <c r="M10" s="2">
        <f t="array" ref="M10">SUM((A10=$A$2:$A$127)*1)</f>
        <v>1</v>
      </c>
    </row>
    <row r="11" spans="1:13">
      <c r="A11" t="s">
        <v>68</v>
      </c>
      <c r="B11" t="s">
        <v>13</v>
      </c>
      <c r="C11" t="s">
        <v>61</v>
      </c>
      <c r="D11" t="s">
        <v>62</v>
      </c>
      <c r="E11" t="s">
        <v>69</v>
      </c>
      <c r="F11" t="s">
        <v>70</v>
      </c>
      <c r="G11" t="s">
        <v>71</v>
      </c>
      <c r="H11">
        <v>0</v>
      </c>
      <c r="I11">
        <v>0</v>
      </c>
      <c r="J11" t="s">
        <v>72</v>
      </c>
      <c r="K11" t="s">
        <v>73</v>
      </c>
      <c r="L11">
        <v>0</v>
      </c>
      <c r="M11" s="2">
        <f t="array" ref="M11">SUM((A11=$A$2:$A$127)*1)</f>
        <v>1</v>
      </c>
    </row>
    <row r="12" spans="1:13">
      <c r="A12" t="s">
        <v>74</v>
      </c>
      <c r="B12" t="s">
        <v>13</v>
      </c>
      <c r="C12" t="s">
        <v>61</v>
      </c>
      <c r="D12" t="s">
        <v>62</v>
      </c>
      <c r="E12" t="s">
        <v>75</v>
      </c>
      <c r="F12" t="s">
        <v>76</v>
      </c>
      <c r="G12" t="s">
        <v>71</v>
      </c>
      <c r="H12">
        <v>0</v>
      </c>
      <c r="I12">
        <v>0</v>
      </c>
      <c r="J12" t="s">
        <v>77</v>
      </c>
      <c r="K12" t="s">
        <v>78</v>
      </c>
      <c r="L12">
        <v>0</v>
      </c>
      <c r="M12" s="2">
        <f t="array" ref="M12">SUM((A12=$A$2:$A$127)*1)</f>
        <v>1</v>
      </c>
    </row>
    <row r="13" spans="1:13">
      <c r="A13" t="s">
        <v>79</v>
      </c>
      <c r="B13" t="s">
        <v>13</v>
      </c>
      <c r="C13" t="s">
        <v>80</v>
      </c>
      <c r="D13" t="s">
        <v>81</v>
      </c>
      <c r="E13" t="s">
        <v>82</v>
      </c>
      <c r="F13" t="s">
        <v>83</v>
      </c>
      <c r="G13" t="s">
        <v>84</v>
      </c>
      <c r="H13">
        <v>1</v>
      </c>
      <c r="I13">
        <v>0</v>
      </c>
      <c r="J13" t="s">
        <v>85</v>
      </c>
      <c r="K13" t="s">
        <v>86</v>
      </c>
      <c r="L13">
        <v>0</v>
      </c>
      <c r="M13" s="2">
        <f t="array" ref="M13">SUM((A13=$A$2:$A$127)*1)</f>
        <v>1</v>
      </c>
    </row>
    <row r="14" spans="1:13">
      <c r="A14" t="s">
        <v>87</v>
      </c>
      <c r="B14" t="s">
        <v>13</v>
      </c>
      <c r="C14" t="s">
        <v>80</v>
      </c>
      <c r="D14" t="s">
        <v>81</v>
      </c>
      <c r="E14" t="s">
        <v>88</v>
      </c>
      <c r="F14" t="s">
        <v>89</v>
      </c>
      <c r="G14" t="s">
        <v>90</v>
      </c>
      <c r="H14">
        <v>1</v>
      </c>
      <c r="I14">
        <v>0</v>
      </c>
      <c r="J14" t="s">
        <v>91</v>
      </c>
      <c r="K14" t="s">
        <v>92</v>
      </c>
      <c r="L14">
        <v>0</v>
      </c>
      <c r="M14" s="2">
        <f t="array" ref="M14">SUM((A14=$A$2:$A$127)*1)</f>
        <v>1</v>
      </c>
    </row>
    <row r="15" spans="1:13">
      <c r="A15" t="s">
        <v>93</v>
      </c>
      <c r="B15" t="s">
        <v>13</v>
      </c>
      <c r="C15" t="s">
        <v>80</v>
      </c>
      <c r="D15" t="s">
        <v>81</v>
      </c>
      <c r="E15" t="s">
        <v>94</v>
      </c>
      <c r="F15" t="s">
        <v>95</v>
      </c>
      <c r="G15" t="s">
        <v>96</v>
      </c>
      <c r="H15">
        <v>1</v>
      </c>
      <c r="I15">
        <v>0</v>
      </c>
      <c r="J15" t="s">
        <v>97</v>
      </c>
      <c r="K15" t="s">
        <v>98</v>
      </c>
      <c r="L15">
        <v>0</v>
      </c>
      <c r="M15" s="2">
        <f t="array" ref="M15">SUM((A15=$A$2:$A$127)*1)</f>
        <v>1</v>
      </c>
    </row>
    <row r="16" spans="1:13">
      <c r="A16" t="s">
        <v>99</v>
      </c>
      <c r="B16" t="s">
        <v>13</v>
      </c>
      <c r="C16" t="s">
        <v>80</v>
      </c>
      <c r="D16" t="s">
        <v>81</v>
      </c>
      <c r="E16" t="s">
        <v>100</v>
      </c>
      <c r="F16" t="s">
        <v>95</v>
      </c>
      <c r="G16" t="s">
        <v>101</v>
      </c>
      <c r="H16">
        <v>0</v>
      </c>
      <c r="I16">
        <v>0</v>
      </c>
      <c r="J16" t="s">
        <v>102</v>
      </c>
      <c r="K16" t="s">
        <v>98</v>
      </c>
      <c r="L16">
        <v>0</v>
      </c>
      <c r="M16" s="2">
        <f t="array" ref="M16">SUM((A16=$A$2:$A$127)*1)</f>
        <v>1</v>
      </c>
    </row>
    <row r="17" spans="1:13">
      <c r="A17" t="s">
        <v>103</v>
      </c>
      <c r="B17" t="s">
        <v>13</v>
      </c>
      <c r="C17" t="s">
        <v>80</v>
      </c>
      <c r="D17" t="s">
        <v>81</v>
      </c>
      <c r="E17" t="s">
        <v>104</v>
      </c>
      <c r="F17" t="s">
        <v>105</v>
      </c>
      <c r="G17" t="s">
        <v>106</v>
      </c>
      <c r="H17">
        <v>0</v>
      </c>
      <c r="I17">
        <v>0</v>
      </c>
      <c r="J17" t="s">
        <v>107</v>
      </c>
      <c r="K17" t="s">
        <v>108</v>
      </c>
      <c r="L17">
        <v>0</v>
      </c>
      <c r="M17" s="2">
        <f t="array" ref="M17">SUM((A17=$A$2:$A$127)*1)</f>
        <v>1</v>
      </c>
    </row>
    <row r="18" spans="1:13">
      <c r="A18" t="s">
        <v>109</v>
      </c>
      <c r="B18" t="s">
        <v>13</v>
      </c>
      <c r="C18" t="s">
        <v>80</v>
      </c>
      <c r="D18" t="s">
        <v>81</v>
      </c>
      <c r="E18" t="s">
        <v>110</v>
      </c>
      <c r="F18" t="s">
        <v>111</v>
      </c>
      <c r="G18" t="s">
        <v>106</v>
      </c>
      <c r="H18">
        <v>0</v>
      </c>
      <c r="I18">
        <v>0</v>
      </c>
      <c r="J18" t="s">
        <v>112</v>
      </c>
      <c r="K18" t="s">
        <v>113</v>
      </c>
      <c r="L18">
        <v>0</v>
      </c>
      <c r="M18" s="2">
        <f t="array" ref="M18">SUM((A18=$A$2:$A$127)*1)</f>
        <v>1</v>
      </c>
    </row>
    <row r="19" spans="1:13">
      <c r="A19" t="s">
        <v>114</v>
      </c>
      <c r="B19" t="s">
        <v>13</v>
      </c>
      <c r="C19" t="s">
        <v>80</v>
      </c>
      <c r="D19" t="s">
        <v>81</v>
      </c>
      <c r="E19" t="s">
        <v>115</v>
      </c>
      <c r="F19" t="s">
        <v>116</v>
      </c>
      <c r="G19" t="s">
        <v>117</v>
      </c>
      <c r="H19">
        <v>1</v>
      </c>
      <c r="I19">
        <v>0</v>
      </c>
      <c r="J19" t="s">
        <v>118</v>
      </c>
      <c r="K19" t="s">
        <v>119</v>
      </c>
      <c r="L19">
        <v>0</v>
      </c>
      <c r="M19" s="2">
        <f t="array" ref="M19">SUM((A19=$A$2:$A$127)*1)</f>
        <v>1</v>
      </c>
    </row>
    <row r="20" spans="1:13">
      <c r="A20" t="s">
        <v>120</v>
      </c>
      <c r="B20" t="s">
        <v>13</v>
      </c>
      <c r="C20" t="s">
        <v>80</v>
      </c>
      <c r="D20" t="s">
        <v>81</v>
      </c>
      <c r="E20" t="s">
        <v>121</v>
      </c>
      <c r="F20" t="s">
        <v>122</v>
      </c>
      <c r="G20" t="s">
        <v>123</v>
      </c>
      <c r="H20">
        <v>1</v>
      </c>
      <c r="I20">
        <v>0</v>
      </c>
      <c r="J20" t="s">
        <v>124</v>
      </c>
      <c r="K20" t="s">
        <v>125</v>
      </c>
      <c r="L20">
        <v>0</v>
      </c>
      <c r="M20" s="2">
        <f t="array" ref="M20">SUM((A20=$A$2:$A$127)*1)</f>
        <v>1</v>
      </c>
    </row>
    <row r="21" spans="1:13">
      <c r="A21" t="s">
        <v>126</v>
      </c>
      <c r="B21" t="s">
        <v>13</v>
      </c>
      <c r="C21" t="s">
        <v>80</v>
      </c>
      <c r="D21" t="s">
        <v>81</v>
      </c>
      <c r="E21" t="s">
        <v>127</v>
      </c>
      <c r="F21" t="s">
        <v>128</v>
      </c>
      <c r="G21" t="s">
        <v>106</v>
      </c>
      <c r="H21">
        <v>0</v>
      </c>
      <c r="I21">
        <v>0</v>
      </c>
      <c r="J21" t="s">
        <v>129</v>
      </c>
      <c r="K21" t="s">
        <v>130</v>
      </c>
      <c r="L21">
        <v>0</v>
      </c>
      <c r="M21" s="2">
        <f t="array" ref="M21">SUM((A21=$A$2:$A$127)*1)</f>
        <v>1</v>
      </c>
    </row>
    <row r="22" spans="1:13">
      <c r="A22" t="s">
        <v>131</v>
      </c>
      <c r="B22" t="s">
        <v>132</v>
      </c>
      <c r="C22" t="s">
        <v>133</v>
      </c>
      <c r="D22" t="s">
        <v>134</v>
      </c>
      <c r="E22" t="s">
        <v>135</v>
      </c>
      <c r="F22" t="s">
        <v>136</v>
      </c>
      <c r="G22" t="s">
        <v>137</v>
      </c>
      <c r="H22">
        <v>0</v>
      </c>
      <c r="I22">
        <v>0</v>
      </c>
      <c r="J22" t="s">
        <v>138</v>
      </c>
      <c r="L22">
        <v>0</v>
      </c>
      <c r="M22" s="2">
        <f t="array" ref="M22">SUM((A22=$A$2:$A$127)*1)</f>
        <v>1</v>
      </c>
    </row>
    <row r="23" spans="1:13">
      <c r="A23" t="s">
        <v>139</v>
      </c>
      <c r="B23" t="s">
        <v>132</v>
      </c>
      <c r="C23" t="s">
        <v>133</v>
      </c>
      <c r="D23" t="s">
        <v>134</v>
      </c>
      <c r="E23" t="s">
        <v>140</v>
      </c>
      <c r="F23" t="s">
        <v>141</v>
      </c>
      <c r="G23" t="s">
        <v>137</v>
      </c>
      <c r="H23">
        <v>0</v>
      </c>
      <c r="I23">
        <v>0</v>
      </c>
      <c r="J23" t="s">
        <v>142</v>
      </c>
      <c r="L23">
        <v>0</v>
      </c>
      <c r="M23" s="2">
        <f t="array" ref="M23">SUM((A23=$A$2:$A$127)*1)</f>
        <v>1</v>
      </c>
    </row>
    <row r="24" spans="1:13">
      <c r="A24" t="s">
        <v>143</v>
      </c>
      <c r="B24" t="s">
        <v>132</v>
      </c>
      <c r="C24" t="s">
        <v>133</v>
      </c>
      <c r="D24" t="s">
        <v>134</v>
      </c>
      <c r="E24" t="s">
        <v>144</v>
      </c>
      <c r="F24" t="s">
        <v>145</v>
      </c>
      <c r="G24" t="s">
        <v>137</v>
      </c>
      <c r="H24">
        <v>0</v>
      </c>
      <c r="I24">
        <v>0</v>
      </c>
      <c r="J24" t="s">
        <v>146</v>
      </c>
      <c r="L24">
        <v>0</v>
      </c>
      <c r="M24" s="2">
        <f t="array" ref="M24">SUM((A24=$A$2:$A$127)*1)</f>
        <v>1</v>
      </c>
    </row>
    <row r="25" spans="1:13">
      <c r="A25" t="s">
        <v>147</v>
      </c>
      <c r="B25" t="s">
        <v>132</v>
      </c>
      <c r="C25" t="s">
        <v>133</v>
      </c>
      <c r="D25" t="s">
        <v>134</v>
      </c>
      <c r="E25" t="s">
        <v>148</v>
      </c>
      <c r="F25" t="s">
        <v>149</v>
      </c>
      <c r="G25" t="s">
        <v>150</v>
      </c>
      <c r="H25">
        <v>0</v>
      </c>
      <c r="I25">
        <v>0</v>
      </c>
      <c r="J25" t="s">
        <v>151</v>
      </c>
      <c r="L25">
        <v>0</v>
      </c>
      <c r="M25" s="2">
        <f t="array" ref="M25">SUM((A25=$A$2:$A$127)*1)</f>
        <v>1</v>
      </c>
    </row>
    <row r="26" spans="1:13">
      <c r="A26" t="s">
        <v>152</v>
      </c>
      <c r="B26" t="s">
        <v>132</v>
      </c>
      <c r="C26" t="s">
        <v>133</v>
      </c>
      <c r="D26" t="s">
        <v>134</v>
      </c>
      <c r="E26" t="s">
        <v>153</v>
      </c>
      <c r="F26" t="s">
        <v>154</v>
      </c>
      <c r="G26" t="s">
        <v>150</v>
      </c>
      <c r="H26">
        <v>0</v>
      </c>
      <c r="I26">
        <v>0</v>
      </c>
      <c r="J26" t="s">
        <v>155</v>
      </c>
      <c r="L26">
        <v>0</v>
      </c>
      <c r="M26" s="2">
        <f t="array" ref="M26">SUM((A26=$A$2:$A$127)*1)</f>
        <v>1</v>
      </c>
    </row>
    <row r="27" spans="1:13">
      <c r="A27" t="s">
        <v>156</v>
      </c>
      <c r="B27" t="s">
        <v>132</v>
      </c>
      <c r="C27" t="s">
        <v>133</v>
      </c>
      <c r="D27" t="s">
        <v>134</v>
      </c>
      <c r="E27" t="s">
        <v>157</v>
      </c>
      <c r="F27" t="s">
        <v>158</v>
      </c>
      <c r="G27" t="s">
        <v>159</v>
      </c>
      <c r="H27">
        <v>0</v>
      </c>
      <c r="I27">
        <v>0</v>
      </c>
      <c r="J27" t="s">
        <v>160</v>
      </c>
      <c r="L27">
        <v>0</v>
      </c>
      <c r="M27" s="2">
        <f t="array" ref="M27">SUM((A27=$A$2:$A$127)*1)</f>
        <v>1</v>
      </c>
    </row>
    <row r="28" spans="1:13">
      <c r="A28" t="s">
        <v>161</v>
      </c>
      <c r="B28" t="s">
        <v>132</v>
      </c>
      <c r="C28" t="s">
        <v>133</v>
      </c>
      <c r="D28" t="s">
        <v>134</v>
      </c>
      <c r="E28" t="s">
        <v>162</v>
      </c>
      <c r="F28" t="s">
        <v>163</v>
      </c>
      <c r="G28" t="s">
        <v>159</v>
      </c>
      <c r="H28">
        <v>0</v>
      </c>
      <c r="I28">
        <v>0</v>
      </c>
      <c r="J28" t="s">
        <v>164</v>
      </c>
      <c r="L28">
        <v>0</v>
      </c>
      <c r="M28" s="2">
        <f t="array" ref="M28">SUM((A28=$A$2:$A$127)*1)</f>
        <v>1</v>
      </c>
    </row>
    <row r="29" spans="1:13">
      <c r="A29" t="s">
        <v>165</v>
      </c>
      <c r="B29" t="s">
        <v>132</v>
      </c>
      <c r="C29" t="s">
        <v>133</v>
      </c>
      <c r="D29" t="s">
        <v>134</v>
      </c>
      <c r="E29" t="s">
        <v>166</v>
      </c>
      <c r="F29" t="s">
        <v>167</v>
      </c>
      <c r="G29" t="s">
        <v>159</v>
      </c>
      <c r="H29">
        <v>0</v>
      </c>
      <c r="I29">
        <v>0</v>
      </c>
      <c r="J29" t="s">
        <v>168</v>
      </c>
      <c r="L29">
        <v>0</v>
      </c>
      <c r="M29" s="2">
        <f t="array" ref="M29">SUM((A29=$A$2:$A$127)*1)</f>
        <v>1</v>
      </c>
    </row>
    <row r="30" spans="1:13">
      <c r="A30" t="s">
        <v>169</v>
      </c>
      <c r="B30" t="s">
        <v>132</v>
      </c>
      <c r="C30" t="s">
        <v>133</v>
      </c>
      <c r="D30" t="s">
        <v>134</v>
      </c>
      <c r="E30" t="s">
        <v>170</v>
      </c>
      <c r="F30" t="s">
        <v>171</v>
      </c>
      <c r="G30" t="s">
        <v>137</v>
      </c>
      <c r="H30">
        <v>0</v>
      </c>
      <c r="I30">
        <v>0</v>
      </c>
      <c r="J30" t="s">
        <v>172</v>
      </c>
      <c r="L30">
        <v>0</v>
      </c>
      <c r="M30" s="2">
        <f t="array" ref="M30">SUM((A30=$A$2:$A$127)*1)</f>
        <v>1</v>
      </c>
    </row>
    <row r="31" spans="1:13">
      <c r="A31" t="s">
        <v>173</v>
      </c>
      <c r="B31" t="s">
        <v>132</v>
      </c>
      <c r="C31" t="s">
        <v>133</v>
      </c>
      <c r="D31" t="s">
        <v>134</v>
      </c>
      <c r="E31" t="s">
        <v>174</v>
      </c>
      <c r="F31" t="s">
        <v>175</v>
      </c>
      <c r="G31" t="s">
        <v>137</v>
      </c>
      <c r="H31">
        <v>0</v>
      </c>
      <c r="I31">
        <v>0</v>
      </c>
      <c r="J31" t="s">
        <v>176</v>
      </c>
      <c r="L31">
        <v>0</v>
      </c>
      <c r="M31" s="2">
        <f t="array" ref="M31">SUM((A31=$A$2:$A$127)*1)</f>
        <v>1</v>
      </c>
    </row>
    <row r="32" spans="1:13">
      <c r="A32" t="s">
        <v>177</v>
      </c>
      <c r="B32" t="s">
        <v>132</v>
      </c>
      <c r="C32" t="s">
        <v>133</v>
      </c>
      <c r="D32" t="s">
        <v>134</v>
      </c>
      <c r="E32" t="s">
        <v>178</v>
      </c>
      <c r="F32" t="s">
        <v>158</v>
      </c>
      <c r="G32" t="s">
        <v>179</v>
      </c>
      <c r="H32">
        <v>0</v>
      </c>
      <c r="I32">
        <v>0</v>
      </c>
      <c r="J32" t="s">
        <v>180</v>
      </c>
      <c r="L32">
        <v>0</v>
      </c>
      <c r="M32" s="2">
        <f t="array" ref="M32">SUM((A32=$A$2:$A$127)*1)</f>
        <v>1</v>
      </c>
    </row>
    <row r="33" spans="1:13">
      <c r="A33" t="s">
        <v>181</v>
      </c>
      <c r="B33" t="s">
        <v>132</v>
      </c>
      <c r="C33" t="s">
        <v>133</v>
      </c>
      <c r="D33" t="s">
        <v>134</v>
      </c>
      <c r="E33" t="s">
        <v>182</v>
      </c>
      <c r="F33" t="s">
        <v>183</v>
      </c>
      <c r="G33" t="s">
        <v>179</v>
      </c>
      <c r="H33">
        <v>0</v>
      </c>
      <c r="I33">
        <v>0</v>
      </c>
      <c r="J33" t="s">
        <v>184</v>
      </c>
      <c r="L33">
        <v>0</v>
      </c>
      <c r="M33" s="2">
        <f t="array" ref="M33">SUM((A33=$A$2:$A$127)*1)</f>
        <v>1</v>
      </c>
    </row>
    <row r="34" spans="1:13">
      <c r="A34" t="s">
        <v>185</v>
      </c>
      <c r="B34" t="s">
        <v>132</v>
      </c>
      <c r="C34" t="s">
        <v>133</v>
      </c>
      <c r="D34" t="s">
        <v>134</v>
      </c>
      <c r="E34" t="s">
        <v>186</v>
      </c>
      <c r="F34" t="s">
        <v>187</v>
      </c>
      <c r="G34" t="s">
        <v>188</v>
      </c>
      <c r="H34">
        <v>0</v>
      </c>
      <c r="I34">
        <v>0</v>
      </c>
      <c r="J34" t="s">
        <v>189</v>
      </c>
      <c r="L34">
        <v>0</v>
      </c>
      <c r="M34" s="2">
        <f t="array" ref="M34">SUM((A34=$A$2:$A$127)*1)</f>
        <v>1</v>
      </c>
    </row>
    <row r="35" spans="1:13">
      <c r="A35" t="s">
        <v>190</v>
      </c>
      <c r="B35" t="s">
        <v>132</v>
      </c>
      <c r="C35" t="s">
        <v>133</v>
      </c>
      <c r="D35" t="s">
        <v>134</v>
      </c>
      <c r="E35" t="s">
        <v>191</v>
      </c>
      <c r="F35" t="s">
        <v>192</v>
      </c>
      <c r="G35" t="s">
        <v>179</v>
      </c>
      <c r="H35">
        <v>0</v>
      </c>
      <c r="I35">
        <v>0</v>
      </c>
      <c r="J35" t="s">
        <v>193</v>
      </c>
      <c r="L35">
        <v>0</v>
      </c>
      <c r="M35" s="2">
        <f t="array" ref="M35">SUM((A35=$A$2:$A$127)*1)</f>
        <v>1</v>
      </c>
    </row>
    <row r="36" spans="1:13">
      <c r="A36" t="s">
        <v>194</v>
      </c>
      <c r="B36" t="s">
        <v>132</v>
      </c>
      <c r="C36" t="s">
        <v>133</v>
      </c>
      <c r="D36" t="s">
        <v>134</v>
      </c>
      <c r="E36" t="s">
        <v>195</v>
      </c>
      <c r="F36" t="s">
        <v>183</v>
      </c>
      <c r="G36" t="s">
        <v>196</v>
      </c>
      <c r="H36">
        <v>0</v>
      </c>
      <c r="I36">
        <v>0</v>
      </c>
      <c r="J36" t="s">
        <v>197</v>
      </c>
      <c r="L36">
        <v>0</v>
      </c>
      <c r="M36" s="2">
        <f t="array" ref="M36">SUM((A36=$A$2:$A$127)*1)</f>
        <v>1</v>
      </c>
    </row>
    <row r="37" spans="1:13">
      <c r="A37" t="s">
        <v>198</v>
      </c>
      <c r="B37" t="s">
        <v>132</v>
      </c>
      <c r="C37" t="s">
        <v>133</v>
      </c>
      <c r="D37" t="s">
        <v>134</v>
      </c>
      <c r="E37" t="s">
        <v>199</v>
      </c>
      <c r="F37" t="s">
        <v>200</v>
      </c>
      <c r="G37" t="s">
        <v>179</v>
      </c>
      <c r="H37">
        <v>0</v>
      </c>
      <c r="I37">
        <v>0</v>
      </c>
      <c r="J37" t="s">
        <v>201</v>
      </c>
      <c r="L37">
        <v>0</v>
      </c>
      <c r="M37" s="2">
        <f t="array" ref="M37">SUM((A37=$A$2:$A$127)*1)</f>
        <v>1</v>
      </c>
    </row>
    <row r="38" spans="1:13">
      <c r="A38" t="s">
        <v>202</v>
      </c>
      <c r="B38" t="s">
        <v>132</v>
      </c>
      <c r="C38" t="s">
        <v>133</v>
      </c>
      <c r="D38" t="s">
        <v>134</v>
      </c>
      <c r="E38" t="s">
        <v>203</v>
      </c>
      <c r="F38" t="s">
        <v>183</v>
      </c>
      <c r="G38" t="s">
        <v>204</v>
      </c>
      <c r="H38">
        <v>0</v>
      </c>
      <c r="I38">
        <v>0</v>
      </c>
      <c r="J38" t="s">
        <v>205</v>
      </c>
      <c r="L38">
        <v>0</v>
      </c>
      <c r="M38" s="2">
        <f t="array" ref="M38">SUM((A38=$A$2:$A$127)*1)</f>
        <v>1</v>
      </c>
    </row>
    <row r="39" spans="1:13">
      <c r="A39" t="s">
        <v>206</v>
      </c>
      <c r="B39" t="s">
        <v>132</v>
      </c>
      <c r="C39" t="s">
        <v>133</v>
      </c>
      <c r="D39" t="s">
        <v>134</v>
      </c>
      <c r="E39" t="s">
        <v>207</v>
      </c>
      <c r="F39" t="s">
        <v>208</v>
      </c>
      <c r="G39" t="s">
        <v>159</v>
      </c>
      <c r="H39">
        <v>0</v>
      </c>
      <c r="I39">
        <v>0</v>
      </c>
      <c r="J39" t="s">
        <v>209</v>
      </c>
      <c r="L39">
        <v>0</v>
      </c>
      <c r="M39" s="2">
        <f t="array" ref="M39">SUM((A39=$A$2:$A$127)*1)</f>
        <v>1</v>
      </c>
    </row>
    <row r="40" spans="1:13">
      <c r="A40" t="s">
        <v>210</v>
      </c>
      <c r="B40" t="s">
        <v>132</v>
      </c>
      <c r="C40" t="s">
        <v>133</v>
      </c>
      <c r="D40" t="s">
        <v>134</v>
      </c>
      <c r="E40" t="s">
        <v>211</v>
      </c>
      <c r="F40" t="s">
        <v>212</v>
      </c>
      <c r="G40" t="s">
        <v>159</v>
      </c>
      <c r="H40">
        <v>0</v>
      </c>
      <c r="I40">
        <v>0</v>
      </c>
      <c r="J40" t="s">
        <v>213</v>
      </c>
      <c r="L40">
        <v>0</v>
      </c>
      <c r="M40" s="2">
        <f t="array" ref="M40">SUM((A40=$A$2:$A$127)*1)</f>
        <v>1</v>
      </c>
    </row>
    <row r="41" spans="1:13">
      <c r="A41" t="s">
        <v>214</v>
      </c>
      <c r="B41" t="s">
        <v>132</v>
      </c>
      <c r="C41" t="s">
        <v>133</v>
      </c>
      <c r="D41" t="s">
        <v>134</v>
      </c>
      <c r="E41" t="s">
        <v>215</v>
      </c>
      <c r="F41" t="s">
        <v>216</v>
      </c>
      <c r="G41" t="s">
        <v>217</v>
      </c>
      <c r="H41">
        <v>0</v>
      </c>
      <c r="I41">
        <v>0</v>
      </c>
      <c r="J41" t="s">
        <v>218</v>
      </c>
      <c r="L41">
        <v>0</v>
      </c>
      <c r="M41" s="2">
        <f t="array" ref="M41">SUM((A41=$A$2:$A$127)*1)</f>
        <v>1</v>
      </c>
    </row>
    <row r="42" spans="1:13">
      <c r="A42" t="s">
        <v>219</v>
      </c>
      <c r="B42" t="s">
        <v>132</v>
      </c>
      <c r="C42" t="s">
        <v>133</v>
      </c>
      <c r="D42" t="s">
        <v>134</v>
      </c>
      <c r="E42" t="s">
        <v>220</v>
      </c>
      <c r="F42" t="s">
        <v>175</v>
      </c>
      <c r="G42" t="s">
        <v>188</v>
      </c>
      <c r="H42">
        <v>0</v>
      </c>
      <c r="I42">
        <v>0</v>
      </c>
      <c r="J42" t="s">
        <v>221</v>
      </c>
      <c r="L42">
        <v>0</v>
      </c>
      <c r="M42" s="2">
        <f t="array" ref="M42">SUM((A42=$A$2:$A$127)*1)</f>
        <v>1</v>
      </c>
    </row>
    <row r="43" spans="1:13">
      <c r="A43" t="s">
        <v>222</v>
      </c>
      <c r="B43" t="s">
        <v>132</v>
      </c>
      <c r="C43" t="s">
        <v>133</v>
      </c>
      <c r="D43" t="s">
        <v>134</v>
      </c>
      <c r="E43" t="s">
        <v>223</v>
      </c>
      <c r="F43" t="s">
        <v>224</v>
      </c>
      <c r="G43" t="s">
        <v>137</v>
      </c>
      <c r="H43">
        <v>0</v>
      </c>
      <c r="I43">
        <v>0</v>
      </c>
      <c r="J43" t="s">
        <v>225</v>
      </c>
      <c r="L43">
        <v>0</v>
      </c>
      <c r="M43" s="2">
        <f t="array" ref="M43">SUM((A43=$A$2:$A$127)*1)</f>
        <v>1</v>
      </c>
    </row>
    <row r="44" spans="1:13">
      <c r="A44" t="s">
        <v>226</v>
      </c>
      <c r="B44" t="s">
        <v>132</v>
      </c>
      <c r="C44" t="s">
        <v>133</v>
      </c>
      <c r="D44" t="s">
        <v>134</v>
      </c>
      <c r="E44" t="s">
        <v>227</v>
      </c>
      <c r="F44" t="s">
        <v>158</v>
      </c>
      <c r="G44" t="s">
        <v>159</v>
      </c>
      <c r="H44">
        <v>0</v>
      </c>
      <c r="I44">
        <v>0</v>
      </c>
      <c r="J44" t="s">
        <v>228</v>
      </c>
      <c r="L44">
        <v>0</v>
      </c>
      <c r="M44" s="2">
        <f t="array" ref="M44">SUM((A44=$A$2:$A$127)*1)</f>
        <v>1</v>
      </c>
    </row>
    <row r="45" spans="1:13">
      <c r="A45" t="s">
        <v>229</v>
      </c>
      <c r="B45" t="s">
        <v>132</v>
      </c>
      <c r="C45" t="s">
        <v>230</v>
      </c>
      <c r="D45" t="s">
        <v>231</v>
      </c>
      <c r="E45" t="s">
        <v>232</v>
      </c>
      <c r="F45" t="s">
        <v>233</v>
      </c>
      <c r="G45" t="s">
        <v>234</v>
      </c>
      <c r="H45">
        <v>1</v>
      </c>
      <c r="I45">
        <v>0</v>
      </c>
      <c r="J45" t="s">
        <v>235</v>
      </c>
      <c r="L45">
        <v>0</v>
      </c>
      <c r="M45" s="2">
        <f t="array" ref="M45">SUM((A45=$A$2:$A$127)*1)</f>
        <v>3</v>
      </c>
    </row>
    <row r="46" spans="1:13">
      <c r="A46" t="s">
        <v>236</v>
      </c>
      <c r="B46" t="s">
        <v>132</v>
      </c>
      <c r="C46" t="s">
        <v>237</v>
      </c>
      <c r="D46" t="s">
        <v>238</v>
      </c>
      <c r="E46" t="s">
        <v>239</v>
      </c>
      <c r="F46" t="s">
        <v>240</v>
      </c>
      <c r="G46" t="s">
        <v>241</v>
      </c>
      <c r="H46">
        <v>1</v>
      </c>
      <c r="I46">
        <v>0</v>
      </c>
      <c r="J46" t="s">
        <v>242</v>
      </c>
      <c r="L46">
        <v>0</v>
      </c>
      <c r="M46" s="2">
        <f t="array" ref="M46">SUM((A46=$A$2:$A$127)*1)</f>
        <v>1</v>
      </c>
    </row>
    <row r="47" spans="1:13">
      <c r="A47" t="s">
        <v>243</v>
      </c>
      <c r="B47" t="s">
        <v>132</v>
      </c>
      <c r="C47" t="s">
        <v>237</v>
      </c>
      <c r="D47" t="s">
        <v>238</v>
      </c>
      <c r="E47" t="s">
        <v>244</v>
      </c>
      <c r="F47" t="s">
        <v>245</v>
      </c>
      <c r="G47" t="s">
        <v>246</v>
      </c>
      <c r="H47">
        <v>1</v>
      </c>
      <c r="I47">
        <v>0</v>
      </c>
      <c r="J47" t="s">
        <v>247</v>
      </c>
      <c r="L47">
        <v>0</v>
      </c>
      <c r="M47" s="2">
        <f t="array" ref="M47">SUM((A47=$A$2:$A$127)*1)</f>
        <v>1</v>
      </c>
    </row>
    <row r="48" spans="1:13">
      <c r="A48" t="s">
        <v>248</v>
      </c>
      <c r="B48" t="s">
        <v>132</v>
      </c>
      <c r="C48" t="s">
        <v>249</v>
      </c>
      <c r="D48" t="s">
        <v>250</v>
      </c>
      <c r="E48" t="s">
        <v>251</v>
      </c>
      <c r="F48" t="s">
        <v>252</v>
      </c>
      <c r="G48" t="s">
        <v>253</v>
      </c>
      <c r="H48">
        <v>0</v>
      </c>
      <c r="I48">
        <v>0</v>
      </c>
      <c r="J48" t="s">
        <v>254</v>
      </c>
      <c r="L48">
        <v>0</v>
      </c>
      <c r="M48" s="2">
        <f t="array" ref="M48">SUM((A48=$A$2:$A$127)*1)</f>
        <v>1</v>
      </c>
    </row>
    <row r="49" spans="1:13">
      <c r="A49" t="s">
        <v>255</v>
      </c>
      <c r="B49" t="s">
        <v>132</v>
      </c>
      <c r="C49" t="s">
        <v>249</v>
      </c>
      <c r="D49" t="s">
        <v>250</v>
      </c>
      <c r="E49" t="s">
        <v>256</v>
      </c>
      <c r="F49" t="s">
        <v>257</v>
      </c>
      <c r="G49" t="s">
        <v>246</v>
      </c>
      <c r="H49">
        <v>0</v>
      </c>
      <c r="I49">
        <v>0</v>
      </c>
      <c r="J49" t="s">
        <v>258</v>
      </c>
      <c r="L49">
        <v>0</v>
      </c>
      <c r="M49" s="2">
        <f t="array" ref="M49">SUM((A49=$A$2:$A$127)*1)</f>
        <v>1</v>
      </c>
    </row>
    <row r="50" spans="1:13">
      <c r="A50" t="s">
        <v>259</v>
      </c>
      <c r="B50" t="s">
        <v>132</v>
      </c>
      <c r="C50" t="s">
        <v>249</v>
      </c>
      <c r="D50" t="s">
        <v>250</v>
      </c>
      <c r="E50" t="s">
        <v>260</v>
      </c>
      <c r="F50" t="s">
        <v>261</v>
      </c>
      <c r="G50" t="s">
        <v>262</v>
      </c>
      <c r="H50">
        <v>0</v>
      </c>
      <c r="I50">
        <v>0</v>
      </c>
      <c r="J50" t="s">
        <v>263</v>
      </c>
      <c r="L50">
        <v>0</v>
      </c>
      <c r="M50" s="2">
        <f t="array" ref="M50">SUM((A50=$A$2:$A$127)*1)</f>
        <v>1</v>
      </c>
    </row>
    <row r="51" spans="1:13">
      <c r="A51" t="s">
        <v>264</v>
      </c>
      <c r="B51" t="s">
        <v>132</v>
      </c>
      <c r="C51" t="s">
        <v>265</v>
      </c>
      <c r="D51" t="s">
        <v>266</v>
      </c>
      <c r="E51" t="s">
        <v>267</v>
      </c>
      <c r="F51" t="s">
        <v>268</v>
      </c>
      <c r="G51" t="s">
        <v>269</v>
      </c>
      <c r="H51">
        <v>1</v>
      </c>
      <c r="I51">
        <v>0</v>
      </c>
      <c r="J51" t="s">
        <v>270</v>
      </c>
      <c r="L51">
        <v>0</v>
      </c>
      <c r="M51" s="2">
        <f t="array" ref="M51">SUM((A51=$A$2:$A$127)*1)</f>
        <v>1</v>
      </c>
    </row>
    <row r="52" spans="1:13">
      <c r="A52" t="s">
        <v>271</v>
      </c>
      <c r="B52" t="s">
        <v>132</v>
      </c>
      <c r="C52" t="s">
        <v>265</v>
      </c>
      <c r="D52" t="s">
        <v>266</v>
      </c>
      <c r="E52" t="s">
        <v>272</v>
      </c>
      <c r="F52" t="s">
        <v>273</v>
      </c>
      <c r="H52">
        <v>0</v>
      </c>
      <c r="I52">
        <v>1</v>
      </c>
      <c r="J52" t="s">
        <v>274</v>
      </c>
      <c r="L52">
        <v>0</v>
      </c>
      <c r="M52" s="2">
        <f t="array" ref="M52">SUM((A52=$A$2:$A$127)*1)</f>
        <v>1</v>
      </c>
    </row>
    <row r="53" spans="1:13">
      <c r="A53" t="s">
        <v>275</v>
      </c>
      <c r="B53" t="s">
        <v>132</v>
      </c>
      <c r="C53" t="s">
        <v>276</v>
      </c>
      <c r="D53" t="s">
        <v>277</v>
      </c>
      <c r="E53" t="s">
        <v>278</v>
      </c>
      <c r="F53" t="s">
        <v>279</v>
      </c>
      <c r="G53" t="s">
        <v>280</v>
      </c>
      <c r="H53">
        <v>0</v>
      </c>
      <c r="I53">
        <v>0</v>
      </c>
      <c r="J53" t="s">
        <v>281</v>
      </c>
      <c r="L53">
        <v>0</v>
      </c>
      <c r="M53" s="2">
        <f t="array" ref="M53">SUM((A53=$A$2:$A$127)*1)</f>
        <v>1</v>
      </c>
    </row>
    <row r="54" spans="1:13">
      <c r="A54" t="s">
        <v>229</v>
      </c>
      <c r="B54" t="s">
        <v>132</v>
      </c>
      <c r="C54" t="s">
        <v>230</v>
      </c>
      <c r="D54" t="s">
        <v>231</v>
      </c>
      <c r="E54" t="s">
        <v>232</v>
      </c>
      <c r="F54" t="s">
        <v>233</v>
      </c>
      <c r="G54" t="s">
        <v>234</v>
      </c>
      <c r="H54">
        <v>1</v>
      </c>
      <c r="I54">
        <v>0</v>
      </c>
      <c r="J54" t="s">
        <v>235</v>
      </c>
      <c r="L54">
        <v>0</v>
      </c>
      <c r="M54" s="2">
        <f t="array" ref="M54">SUM((A54=$A$2:$A$127)*1)</f>
        <v>3</v>
      </c>
    </row>
    <row r="55" spans="1:13">
      <c r="A55" t="s">
        <v>229</v>
      </c>
      <c r="B55" t="s">
        <v>132</v>
      </c>
      <c r="C55" t="s">
        <v>230</v>
      </c>
      <c r="D55" t="s">
        <v>231</v>
      </c>
      <c r="E55" t="s">
        <v>232</v>
      </c>
      <c r="F55" t="s">
        <v>233</v>
      </c>
      <c r="G55" t="s">
        <v>234</v>
      </c>
      <c r="H55">
        <v>1</v>
      </c>
      <c r="I55">
        <v>0</v>
      </c>
      <c r="J55" t="s">
        <v>235</v>
      </c>
      <c r="L55">
        <v>0</v>
      </c>
      <c r="M55" s="2">
        <f t="array" ref="M55">SUM((A55=$A$2:$A$127)*1)</f>
        <v>3</v>
      </c>
    </row>
    <row r="56" spans="1:13">
      <c r="A56" t="s">
        <v>282</v>
      </c>
      <c r="B56" t="s">
        <v>13</v>
      </c>
      <c r="C56" t="s">
        <v>283</v>
      </c>
      <c r="D56" t="s">
        <v>284</v>
      </c>
      <c r="E56" t="s">
        <v>285</v>
      </c>
      <c r="F56" t="s">
        <v>286</v>
      </c>
      <c r="G56" t="s">
        <v>71</v>
      </c>
      <c r="H56">
        <v>0</v>
      </c>
      <c r="I56">
        <v>0</v>
      </c>
      <c r="J56" t="s">
        <v>287</v>
      </c>
      <c r="K56" t="s">
        <v>288</v>
      </c>
      <c r="L56">
        <v>0</v>
      </c>
      <c r="M56" s="2">
        <f t="array" ref="M56">SUM((A56=$A$2:$A$127)*1)</f>
        <v>1</v>
      </c>
    </row>
    <row r="57" spans="1:13">
      <c r="A57" t="s">
        <v>289</v>
      </c>
      <c r="B57" t="s">
        <v>13</v>
      </c>
      <c r="C57" t="s">
        <v>283</v>
      </c>
      <c r="D57" t="s">
        <v>284</v>
      </c>
      <c r="E57" t="s">
        <v>290</v>
      </c>
      <c r="F57" t="s">
        <v>291</v>
      </c>
      <c r="G57" t="s">
        <v>71</v>
      </c>
      <c r="H57">
        <v>0</v>
      </c>
      <c r="I57">
        <v>0</v>
      </c>
      <c r="J57" t="s">
        <v>292</v>
      </c>
      <c r="K57" t="s">
        <v>293</v>
      </c>
      <c r="L57">
        <v>0</v>
      </c>
      <c r="M57" s="2">
        <f t="array" ref="M57">SUM((A57=$A$2:$A$127)*1)</f>
        <v>1</v>
      </c>
    </row>
    <row r="58" spans="1:13">
      <c r="A58" t="s">
        <v>294</v>
      </c>
      <c r="B58" t="s">
        <v>13</v>
      </c>
      <c r="C58" t="s">
        <v>295</v>
      </c>
      <c r="D58" t="s">
        <v>296</v>
      </c>
      <c r="E58" t="s">
        <v>297</v>
      </c>
      <c r="F58" t="s">
        <v>298</v>
      </c>
      <c r="G58" t="s">
        <v>299</v>
      </c>
      <c r="H58">
        <v>1</v>
      </c>
      <c r="I58">
        <v>0</v>
      </c>
      <c r="J58" t="s">
        <v>300</v>
      </c>
      <c r="K58" t="s">
        <v>301</v>
      </c>
      <c r="L58">
        <v>0</v>
      </c>
      <c r="M58" s="2">
        <f t="array" ref="M58">SUM((A58=$A$2:$A$127)*1)</f>
        <v>1</v>
      </c>
    </row>
    <row r="59" spans="1:13">
      <c r="A59" t="s">
        <v>302</v>
      </c>
      <c r="B59" t="s">
        <v>13</v>
      </c>
      <c r="C59" t="s">
        <v>295</v>
      </c>
      <c r="D59" t="s">
        <v>296</v>
      </c>
      <c r="E59" t="s">
        <v>303</v>
      </c>
      <c r="F59" t="s">
        <v>304</v>
      </c>
      <c r="G59" t="s">
        <v>305</v>
      </c>
      <c r="H59">
        <v>1</v>
      </c>
      <c r="I59">
        <v>0</v>
      </c>
      <c r="J59" t="s">
        <v>306</v>
      </c>
      <c r="K59" t="s">
        <v>307</v>
      </c>
      <c r="L59">
        <v>0</v>
      </c>
      <c r="M59" s="2">
        <f t="array" ref="M59">SUM((A59=$A$2:$A$127)*1)</f>
        <v>1</v>
      </c>
    </row>
    <row r="60" spans="1:13">
      <c r="A60" t="s">
        <v>308</v>
      </c>
      <c r="B60" t="s">
        <v>13</v>
      </c>
      <c r="C60" t="s">
        <v>295</v>
      </c>
      <c r="D60" t="s">
        <v>296</v>
      </c>
      <c r="E60" t="s">
        <v>309</v>
      </c>
      <c r="F60" t="s">
        <v>310</v>
      </c>
      <c r="G60" t="s">
        <v>305</v>
      </c>
      <c r="H60">
        <v>1</v>
      </c>
      <c r="I60">
        <v>0</v>
      </c>
      <c r="J60" t="s">
        <v>311</v>
      </c>
      <c r="K60" t="s">
        <v>312</v>
      </c>
      <c r="L60">
        <v>0</v>
      </c>
      <c r="M60" s="2">
        <f t="array" ref="M60">SUM((A60=$A$2:$A$127)*1)</f>
        <v>1</v>
      </c>
    </row>
    <row r="61" spans="1:13">
      <c r="A61" t="s">
        <v>313</v>
      </c>
      <c r="B61" t="s">
        <v>13</v>
      </c>
      <c r="C61" t="s">
        <v>295</v>
      </c>
      <c r="D61" t="s">
        <v>296</v>
      </c>
      <c r="E61" t="s">
        <v>314</v>
      </c>
      <c r="F61" t="s">
        <v>315</v>
      </c>
      <c r="G61" t="s">
        <v>316</v>
      </c>
      <c r="H61">
        <v>1</v>
      </c>
      <c r="I61">
        <v>0</v>
      </c>
      <c r="J61" t="s">
        <v>317</v>
      </c>
      <c r="K61" t="s">
        <v>318</v>
      </c>
      <c r="L61">
        <v>0</v>
      </c>
      <c r="M61" s="2">
        <f t="array" ref="M61">SUM((A61=$A$2:$A$127)*1)</f>
        <v>1</v>
      </c>
    </row>
    <row r="62" spans="1:13">
      <c r="A62" t="s">
        <v>319</v>
      </c>
      <c r="B62" t="s">
        <v>13</v>
      </c>
      <c r="C62" t="s">
        <v>295</v>
      </c>
      <c r="D62" t="s">
        <v>296</v>
      </c>
      <c r="E62" t="s">
        <v>320</v>
      </c>
      <c r="F62" t="s">
        <v>321</v>
      </c>
      <c r="G62" t="s">
        <v>305</v>
      </c>
      <c r="H62">
        <v>1</v>
      </c>
      <c r="I62">
        <v>0</v>
      </c>
      <c r="J62" t="s">
        <v>322</v>
      </c>
      <c r="K62" t="s">
        <v>323</v>
      </c>
      <c r="L62">
        <v>0</v>
      </c>
      <c r="M62" s="2">
        <f t="array" ref="M62">SUM((A62=$A$2:$A$127)*1)</f>
        <v>1</v>
      </c>
    </row>
    <row r="63" spans="1:13">
      <c r="A63" t="s">
        <v>324</v>
      </c>
      <c r="B63" t="s">
        <v>13</v>
      </c>
      <c r="C63" t="s">
        <v>295</v>
      </c>
      <c r="D63" t="s">
        <v>296</v>
      </c>
      <c r="E63" t="s">
        <v>325</v>
      </c>
      <c r="F63" t="s">
        <v>326</v>
      </c>
      <c r="G63" t="s">
        <v>305</v>
      </c>
      <c r="H63">
        <v>1</v>
      </c>
      <c r="I63">
        <v>0</v>
      </c>
      <c r="J63" t="s">
        <v>327</v>
      </c>
      <c r="K63" t="s">
        <v>328</v>
      </c>
      <c r="L63">
        <v>0</v>
      </c>
      <c r="M63" s="2">
        <f t="array" ref="M63">SUM((A63=$A$2:$A$127)*1)</f>
        <v>1</v>
      </c>
    </row>
    <row r="64" spans="1:13">
      <c r="A64" t="s">
        <v>329</v>
      </c>
      <c r="B64" t="s">
        <v>13</v>
      </c>
      <c r="C64" t="s">
        <v>295</v>
      </c>
      <c r="D64" t="s">
        <v>296</v>
      </c>
      <c r="E64" t="s">
        <v>330</v>
      </c>
      <c r="F64" t="s">
        <v>331</v>
      </c>
      <c r="G64" t="s">
        <v>305</v>
      </c>
      <c r="H64">
        <v>1</v>
      </c>
      <c r="I64">
        <v>0</v>
      </c>
      <c r="J64" t="s">
        <v>332</v>
      </c>
      <c r="K64" t="s">
        <v>333</v>
      </c>
      <c r="L64">
        <v>0</v>
      </c>
      <c r="M64" s="2">
        <f t="array" ref="M64">SUM((A64=$A$2:$A$127)*1)</f>
        <v>1</v>
      </c>
    </row>
    <row r="65" spans="1:13">
      <c r="A65" t="s">
        <v>334</v>
      </c>
      <c r="B65" t="s">
        <v>13</v>
      </c>
      <c r="C65" t="s">
        <v>295</v>
      </c>
      <c r="D65" t="s">
        <v>296</v>
      </c>
      <c r="E65" t="s">
        <v>335</v>
      </c>
      <c r="F65" t="s">
        <v>336</v>
      </c>
      <c r="G65" t="s">
        <v>337</v>
      </c>
      <c r="H65">
        <v>1</v>
      </c>
      <c r="I65">
        <v>0</v>
      </c>
      <c r="J65" t="s">
        <v>338</v>
      </c>
      <c r="K65" t="s">
        <v>339</v>
      </c>
      <c r="L65">
        <v>0</v>
      </c>
      <c r="M65" s="2">
        <f t="array" ref="M65">SUM((A65=$A$2:$A$127)*1)</f>
        <v>1</v>
      </c>
    </row>
    <row r="66" spans="1:13">
      <c r="A66" t="s">
        <v>340</v>
      </c>
      <c r="B66" t="s">
        <v>13</v>
      </c>
      <c r="C66" t="s">
        <v>295</v>
      </c>
      <c r="D66" t="s">
        <v>296</v>
      </c>
      <c r="E66" t="s">
        <v>341</v>
      </c>
      <c r="F66" t="s">
        <v>342</v>
      </c>
      <c r="G66" t="s">
        <v>316</v>
      </c>
      <c r="H66">
        <v>1</v>
      </c>
      <c r="I66">
        <v>0</v>
      </c>
      <c r="J66" t="s">
        <v>343</v>
      </c>
      <c r="K66" t="s">
        <v>344</v>
      </c>
      <c r="L66">
        <v>0</v>
      </c>
      <c r="M66" s="2">
        <f t="array" ref="M66">SUM((A66=$A$2:$A$127)*1)</f>
        <v>1</v>
      </c>
    </row>
    <row r="67" spans="1:13">
      <c r="A67" t="s">
        <v>345</v>
      </c>
      <c r="B67" t="s">
        <v>13</v>
      </c>
      <c r="C67" t="s">
        <v>295</v>
      </c>
      <c r="D67" t="s">
        <v>296</v>
      </c>
      <c r="E67" t="s">
        <v>346</v>
      </c>
      <c r="F67" t="s">
        <v>347</v>
      </c>
      <c r="G67" t="s">
        <v>305</v>
      </c>
      <c r="H67">
        <v>1</v>
      </c>
      <c r="I67">
        <v>0</v>
      </c>
      <c r="J67" t="s">
        <v>348</v>
      </c>
      <c r="K67" t="s">
        <v>349</v>
      </c>
      <c r="L67">
        <v>0</v>
      </c>
      <c r="M67" s="2">
        <f t="array" ref="M67">SUM((A67=$A$2:$A$127)*1)</f>
        <v>1</v>
      </c>
    </row>
    <row r="68" spans="1:13">
      <c r="A68" t="s">
        <v>350</v>
      </c>
      <c r="B68" t="s">
        <v>13</v>
      </c>
      <c r="C68" t="s">
        <v>295</v>
      </c>
      <c r="D68" t="s">
        <v>296</v>
      </c>
      <c r="E68" t="s">
        <v>351</v>
      </c>
      <c r="F68" t="s">
        <v>352</v>
      </c>
      <c r="G68" t="s">
        <v>305</v>
      </c>
      <c r="H68">
        <v>1</v>
      </c>
      <c r="I68">
        <v>0</v>
      </c>
      <c r="J68" t="s">
        <v>353</v>
      </c>
      <c r="K68" t="s">
        <v>354</v>
      </c>
      <c r="L68">
        <v>0</v>
      </c>
      <c r="M68" s="2">
        <f t="array" ref="M68">SUM((A68=$A$2:$A$127)*1)</f>
        <v>1</v>
      </c>
    </row>
    <row r="69" spans="1:13">
      <c r="A69" t="s">
        <v>355</v>
      </c>
      <c r="B69" t="s">
        <v>13</v>
      </c>
      <c r="C69" t="s">
        <v>295</v>
      </c>
      <c r="D69" t="s">
        <v>296</v>
      </c>
      <c r="E69" t="s">
        <v>356</v>
      </c>
      <c r="F69" t="s">
        <v>357</v>
      </c>
      <c r="G69" t="s">
        <v>305</v>
      </c>
      <c r="H69">
        <v>1</v>
      </c>
      <c r="I69">
        <v>0</v>
      </c>
      <c r="J69" t="s">
        <v>358</v>
      </c>
      <c r="K69" t="s">
        <v>359</v>
      </c>
      <c r="L69">
        <v>0</v>
      </c>
      <c r="M69" s="2">
        <f t="array" ref="M69">SUM((A69=$A$2:$A$127)*1)</f>
        <v>1</v>
      </c>
    </row>
    <row r="70" spans="1:13">
      <c r="A70" t="s">
        <v>360</v>
      </c>
      <c r="B70" t="s">
        <v>13</v>
      </c>
      <c r="C70" t="s">
        <v>295</v>
      </c>
      <c r="D70" t="s">
        <v>296</v>
      </c>
      <c r="E70" t="s">
        <v>361</v>
      </c>
      <c r="F70" t="s">
        <v>362</v>
      </c>
      <c r="G70" t="s">
        <v>305</v>
      </c>
      <c r="H70">
        <v>1</v>
      </c>
      <c r="I70">
        <v>0</v>
      </c>
      <c r="J70" t="s">
        <v>363</v>
      </c>
      <c r="K70" t="s">
        <v>364</v>
      </c>
      <c r="L70">
        <v>0</v>
      </c>
      <c r="M70" s="2">
        <f t="array" ref="M70">SUM((A70=$A$2:$A$127)*1)</f>
        <v>1</v>
      </c>
    </row>
    <row r="71" spans="1:13">
      <c r="A71" t="s">
        <v>365</v>
      </c>
      <c r="B71" t="s">
        <v>13</v>
      </c>
      <c r="C71" t="s">
        <v>366</v>
      </c>
      <c r="D71" t="s">
        <v>367</v>
      </c>
      <c r="E71" t="s">
        <v>368</v>
      </c>
      <c r="F71" t="s">
        <v>369</v>
      </c>
      <c r="G71" t="s">
        <v>370</v>
      </c>
      <c r="H71">
        <v>1</v>
      </c>
      <c r="I71">
        <v>0</v>
      </c>
      <c r="J71" t="s">
        <v>371</v>
      </c>
      <c r="K71" t="s">
        <v>372</v>
      </c>
      <c r="L71">
        <v>0</v>
      </c>
      <c r="M71" s="2">
        <f t="array" ref="M71">SUM((A71=$A$2:$A$127)*1)</f>
        <v>1</v>
      </c>
    </row>
    <row r="72" spans="1:13">
      <c r="A72" t="s">
        <v>373</v>
      </c>
      <c r="B72" t="s">
        <v>13</v>
      </c>
      <c r="C72" t="s">
        <v>374</v>
      </c>
      <c r="D72" t="s">
        <v>375</v>
      </c>
      <c r="E72" t="s">
        <v>376</v>
      </c>
      <c r="F72" t="s">
        <v>377</v>
      </c>
      <c r="G72" t="s">
        <v>378</v>
      </c>
      <c r="H72">
        <v>1</v>
      </c>
      <c r="I72">
        <v>0</v>
      </c>
      <c r="J72" t="s">
        <v>379</v>
      </c>
      <c r="K72" t="s">
        <v>380</v>
      </c>
      <c r="L72">
        <v>0</v>
      </c>
      <c r="M72" s="2">
        <f t="array" ref="M72">SUM((A72=$A$2:$A$127)*1)</f>
        <v>1</v>
      </c>
    </row>
    <row r="73" spans="1:13">
      <c r="A73" t="s">
        <v>381</v>
      </c>
      <c r="B73" t="s">
        <v>13</v>
      </c>
      <c r="C73" t="s">
        <v>382</v>
      </c>
      <c r="D73" t="s">
        <v>383</v>
      </c>
      <c r="E73" t="s">
        <v>384</v>
      </c>
      <c r="F73" t="s">
        <v>385</v>
      </c>
      <c r="G73" t="s">
        <v>386</v>
      </c>
      <c r="H73">
        <v>0</v>
      </c>
      <c r="I73">
        <v>0</v>
      </c>
      <c r="J73" t="s">
        <v>387</v>
      </c>
      <c r="K73" t="s">
        <v>388</v>
      </c>
      <c r="L73">
        <v>0</v>
      </c>
      <c r="M73" s="2">
        <f t="array" ref="M73">SUM((A73=$A$2:$A$127)*1)</f>
        <v>1</v>
      </c>
    </row>
    <row r="74" spans="1:13">
      <c r="A74" t="s">
        <v>389</v>
      </c>
      <c r="B74" t="s">
        <v>42</v>
      </c>
      <c r="C74" t="s">
        <v>390</v>
      </c>
      <c r="D74" t="s">
        <v>391</v>
      </c>
      <c r="E74" t="s">
        <v>392</v>
      </c>
      <c r="F74" t="s">
        <v>17</v>
      </c>
      <c r="G74" t="s">
        <v>393</v>
      </c>
      <c r="H74">
        <v>1</v>
      </c>
      <c r="I74">
        <v>0</v>
      </c>
      <c r="J74" t="s">
        <v>394</v>
      </c>
      <c r="K74" t="s">
        <v>395</v>
      </c>
      <c r="L74">
        <v>0</v>
      </c>
      <c r="M74" s="2">
        <f t="array" ref="M74">SUM((A74=$A$2:$A$127)*1)</f>
        <v>1</v>
      </c>
    </row>
    <row r="75" spans="1:13">
      <c r="A75" t="s">
        <v>396</v>
      </c>
      <c r="B75" t="s">
        <v>42</v>
      </c>
      <c r="C75" t="s">
        <v>397</v>
      </c>
      <c r="D75" t="s">
        <v>398</v>
      </c>
      <c r="E75" t="s">
        <v>399</v>
      </c>
      <c r="F75" t="s">
        <v>400</v>
      </c>
      <c r="G75" t="s">
        <v>401</v>
      </c>
      <c r="H75">
        <v>1</v>
      </c>
      <c r="I75">
        <v>0</v>
      </c>
      <c r="J75" t="s">
        <v>402</v>
      </c>
      <c r="K75" t="s">
        <v>403</v>
      </c>
      <c r="L75">
        <v>0</v>
      </c>
      <c r="M75" s="2">
        <f t="array" ref="M75">SUM((A75=$A$2:$A$127)*1)</f>
        <v>1</v>
      </c>
    </row>
    <row r="76" spans="1:13">
      <c r="A76" t="s">
        <v>404</v>
      </c>
      <c r="B76" t="s">
        <v>42</v>
      </c>
      <c r="C76" t="s">
        <v>397</v>
      </c>
      <c r="D76" t="s">
        <v>398</v>
      </c>
      <c r="E76" t="s">
        <v>405</v>
      </c>
      <c r="F76" t="s">
        <v>406</v>
      </c>
      <c r="G76" t="s">
        <v>401</v>
      </c>
      <c r="H76">
        <v>1</v>
      </c>
      <c r="I76">
        <v>0</v>
      </c>
      <c r="J76" t="s">
        <v>407</v>
      </c>
      <c r="K76" t="s">
        <v>408</v>
      </c>
      <c r="L76">
        <v>0</v>
      </c>
      <c r="M76" s="2">
        <f t="array" ref="M76">SUM((A76=$A$2:$A$127)*1)</f>
        <v>1</v>
      </c>
    </row>
    <row r="77" spans="1:13">
      <c r="A77" t="s">
        <v>409</v>
      </c>
      <c r="B77" t="s">
        <v>42</v>
      </c>
      <c r="C77" t="s">
        <v>410</v>
      </c>
      <c r="D77" t="s">
        <v>410</v>
      </c>
      <c r="E77" t="s">
        <v>411</v>
      </c>
      <c r="F77" t="s">
        <v>412</v>
      </c>
      <c r="G77" t="s">
        <v>413</v>
      </c>
      <c r="H77">
        <v>1</v>
      </c>
      <c r="I77">
        <v>0</v>
      </c>
      <c r="J77" t="s">
        <v>414</v>
      </c>
      <c r="K77" t="s">
        <v>415</v>
      </c>
      <c r="L77">
        <v>0</v>
      </c>
      <c r="M77" s="2">
        <f t="array" ref="M77">SUM((A77=$A$2:$A$127)*1)</f>
        <v>1</v>
      </c>
    </row>
    <row r="78" spans="1:13">
      <c r="A78" t="s">
        <v>416</v>
      </c>
      <c r="B78" t="s">
        <v>13</v>
      </c>
      <c r="C78" t="s">
        <v>417</v>
      </c>
      <c r="D78" t="s">
        <v>418</v>
      </c>
      <c r="E78" t="s">
        <v>419</v>
      </c>
      <c r="F78" t="s">
        <v>420</v>
      </c>
      <c r="G78" t="s">
        <v>421</v>
      </c>
      <c r="H78">
        <v>1</v>
      </c>
      <c r="I78">
        <v>0</v>
      </c>
      <c r="J78" t="s">
        <v>422</v>
      </c>
      <c r="K78" t="s">
        <v>423</v>
      </c>
      <c r="L78">
        <v>0</v>
      </c>
      <c r="M78" s="2">
        <f t="array" ref="M78">SUM((A78=$A$2:$A$127)*1)</f>
        <v>1</v>
      </c>
    </row>
    <row r="79" spans="1:13">
      <c r="A79" t="s">
        <v>424</v>
      </c>
      <c r="B79" t="s">
        <v>42</v>
      </c>
      <c r="C79" t="s">
        <v>425</v>
      </c>
      <c r="D79" t="s">
        <v>426</v>
      </c>
      <c r="E79" t="s">
        <v>427</v>
      </c>
      <c r="F79" t="s">
        <v>428</v>
      </c>
      <c r="G79" t="s">
        <v>429</v>
      </c>
      <c r="H79">
        <v>1</v>
      </c>
      <c r="I79">
        <v>0</v>
      </c>
      <c r="J79" t="s">
        <v>430</v>
      </c>
      <c r="K79" t="s">
        <v>431</v>
      </c>
      <c r="L79">
        <v>0</v>
      </c>
      <c r="M79" s="2">
        <f t="array" ref="M79">SUM((A79=$A$2:$A$127)*1)</f>
        <v>1</v>
      </c>
    </row>
    <row r="80" spans="1:13">
      <c r="A80" t="s">
        <v>432</v>
      </c>
      <c r="B80" t="s">
        <v>42</v>
      </c>
      <c r="C80" t="s">
        <v>425</v>
      </c>
      <c r="D80" t="s">
        <v>426</v>
      </c>
      <c r="E80" t="s">
        <v>433</v>
      </c>
      <c r="F80" t="s">
        <v>434</v>
      </c>
      <c r="G80" t="s">
        <v>71</v>
      </c>
      <c r="H80">
        <v>1</v>
      </c>
      <c r="I80">
        <v>0</v>
      </c>
      <c r="J80" t="s">
        <v>435</v>
      </c>
      <c r="K80" t="s">
        <v>436</v>
      </c>
      <c r="L80">
        <v>0</v>
      </c>
      <c r="M80" s="2">
        <f t="array" ref="M80">SUM((A80=$A$2:$A$127)*1)</f>
        <v>1</v>
      </c>
    </row>
    <row r="81" spans="1:13">
      <c r="A81" t="s">
        <v>437</v>
      </c>
      <c r="B81" t="s">
        <v>42</v>
      </c>
      <c r="C81" t="s">
        <v>425</v>
      </c>
      <c r="D81" t="s">
        <v>426</v>
      </c>
      <c r="E81" t="s">
        <v>438</v>
      </c>
      <c r="F81" t="s">
        <v>439</v>
      </c>
      <c r="G81" t="s">
        <v>440</v>
      </c>
      <c r="H81">
        <v>1</v>
      </c>
      <c r="I81">
        <v>0</v>
      </c>
      <c r="J81" t="s">
        <v>441</v>
      </c>
      <c r="K81" t="s">
        <v>442</v>
      </c>
      <c r="L81">
        <v>0</v>
      </c>
      <c r="M81" s="2">
        <f t="array" ref="M81">SUM((A81=$A$2:$A$127)*1)</f>
        <v>1</v>
      </c>
    </row>
    <row r="82" spans="1:13">
      <c r="A82" t="s">
        <v>443</v>
      </c>
      <c r="B82" t="s">
        <v>42</v>
      </c>
      <c r="C82" t="s">
        <v>425</v>
      </c>
      <c r="D82" t="s">
        <v>426</v>
      </c>
      <c r="E82" t="s">
        <v>444</v>
      </c>
      <c r="F82" t="s">
        <v>445</v>
      </c>
      <c r="G82" t="s">
        <v>440</v>
      </c>
      <c r="H82">
        <v>1</v>
      </c>
      <c r="I82">
        <v>0</v>
      </c>
      <c r="J82" t="s">
        <v>446</v>
      </c>
      <c r="K82" t="s">
        <v>447</v>
      </c>
      <c r="L82">
        <v>0</v>
      </c>
      <c r="M82" s="2">
        <f t="array" ref="M82">SUM((A82=$A$2:$A$127)*1)</f>
        <v>1</v>
      </c>
    </row>
    <row r="83" spans="1:13">
      <c r="A83" t="s">
        <v>448</v>
      </c>
      <c r="B83" t="s">
        <v>13</v>
      </c>
      <c r="C83" t="s">
        <v>449</v>
      </c>
      <c r="D83" t="s">
        <v>450</v>
      </c>
      <c r="E83" t="s">
        <v>451</v>
      </c>
      <c r="F83" t="s">
        <v>452</v>
      </c>
      <c r="G83" t="s">
        <v>453</v>
      </c>
      <c r="H83">
        <v>1</v>
      </c>
      <c r="I83">
        <v>0</v>
      </c>
      <c r="J83" t="s">
        <v>454</v>
      </c>
      <c r="K83" t="s">
        <v>455</v>
      </c>
      <c r="L83">
        <v>0</v>
      </c>
      <c r="M83" s="2">
        <f t="array" ref="M83">SUM((A83=$A$2:$A$127)*1)</f>
        <v>1</v>
      </c>
    </row>
    <row r="84" spans="1:13">
      <c r="A84" t="s">
        <v>456</v>
      </c>
      <c r="B84" t="s">
        <v>13</v>
      </c>
      <c r="C84" t="s">
        <v>449</v>
      </c>
      <c r="D84" t="s">
        <v>450</v>
      </c>
      <c r="E84" t="s">
        <v>457</v>
      </c>
      <c r="F84" t="s">
        <v>452</v>
      </c>
      <c r="G84" t="s">
        <v>458</v>
      </c>
      <c r="H84">
        <v>1</v>
      </c>
      <c r="I84">
        <v>0</v>
      </c>
      <c r="J84" t="s">
        <v>459</v>
      </c>
      <c r="K84" t="s">
        <v>460</v>
      </c>
      <c r="L84">
        <v>0</v>
      </c>
      <c r="M84" s="2">
        <f t="array" ref="M84">SUM((A84=$A$2:$A$127)*1)</f>
        <v>1</v>
      </c>
    </row>
    <row r="85" spans="1:13">
      <c r="A85" t="s">
        <v>461</v>
      </c>
      <c r="B85" t="s">
        <v>13</v>
      </c>
      <c r="C85" t="s">
        <v>462</v>
      </c>
      <c r="D85" t="s">
        <v>463</v>
      </c>
      <c r="E85" t="s">
        <v>464</v>
      </c>
      <c r="F85" t="s">
        <v>465</v>
      </c>
      <c r="G85" t="s">
        <v>466</v>
      </c>
      <c r="H85">
        <v>0</v>
      </c>
      <c r="I85">
        <v>1</v>
      </c>
      <c r="J85" t="s">
        <v>467</v>
      </c>
      <c r="K85" t="s">
        <v>468</v>
      </c>
      <c r="L85">
        <v>0</v>
      </c>
      <c r="M85" s="2">
        <f t="array" ref="M85">SUM((A85=$A$2:$A$127)*1)</f>
        <v>1</v>
      </c>
    </row>
    <row r="86" spans="1:13">
      <c r="A86" t="s">
        <v>469</v>
      </c>
      <c r="B86" t="s">
        <v>13</v>
      </c>
      <c r="C86" t="s">
        <v>470</v>
      </c>
      <c r="D86" t="s">
        <v>471</v>
      </c>
      <c r="E86" t="s">
        <v>472</v>
      </c>
      <c r="F86" t="s">
        <v>473</v>
      </c>
      <c r="G86" t="s">
        <v>474</v>
      </c>
      <c r="H86">
        <v>0</v>
      </c>
      <c r="I86">
        <v>0</v>
      </c>
      <c r="J86" t="s">
        <v>475</v>
      </c>
      <c r="K86" t="s">
        <v>476</v>
      </c>
      <c r="L86">
        <v>0</v>
      </c>
      <c r="M86" s="2">
        <f t="array" ref="M86">SUM((A86=$A$2:$A$127)*1)</f>
        <v>1</v>
      </c>
    </row>
    <row r="87" spans="1:13">
      <c r="A87" t="s">
        <v>477</v>
      </c>
      <c r="B87" t="s">
        <v>13</v>
      </c>
      <c r="C87" t="s">
        <v>478</v>
      </c>
      <c r="D87" t="s">
        <v>479</v>
      </c>
      <c r="E87" t="s">
        <v>480</v>
      </c>
      <c r="F87" t="s">
        <v>481</v>
      </c>
      <c r="G87" t="s">
        <v>482</v>
      </c>
      <c r="H87">
        <v>0</v>
      </c>
      <c r="I87">
        <v>0</v>
      </c>
      <c r="J87" t="s">
        <v>483</v>
      </c>
      <c r="K87" t="s">
        <v>484</v>
      </c>
      <c r="L87">
        <v>0</v>
      </c>
      <c r="M87" s="2">
        <f t="array" ref="M87">SUM((A87=$A$2:$A$127)*1)</f>
        <v>1</v>
      </c>
    </row>
    <row r="88" spans="1:13">
      <c r="A88" t="s">
        <v>485</v>
      </c>
      <c r="B88" t="s">
        <v>13</v>
      </c>
      <c r="C88" t="s">
        <v>478</v>
      </c>
      <c r="D88" t="s">
        <v>479</v>
      </c>
      <c r="E88" t="s">
        <v>486</v>
      </c>
      <c r="F88" t="s">
        <v>487</v>
      </c>
      <c r="G88" t="s">
        <v>488</v>
      </c>
      <c r="H88">
        <v>0</v>
      </c>
      <c r="I88">
        <v>0</v>
      </c>
      <c r="J88" t="s">
        <v>489</v>
      </c>
      <c r="K88" t="s">
        <v>490</v>
      </c>
      <c r="L88">
        <v>0</v>
      </c>
      <c r="M88" s="2">
        <f t="array" ref="M88">SUM((A88=$A$2:$A$127)*1)</f>
        <v>1</v>
      </c>
    </row>
    <row r="89" spans="1:13">
      <c r="A89" t="s">
        <v>491</v>
      </c>
      <c r="B89" t="s">
        <v>42</v>
      </c>
      <c r="C89" t="s">
        <v>492</v>
      </c>
      <c r="D89" t="s">
        <v>493</v>
      </c>
      <c r="E89" t="s">
        <v>494</v>
      </c>
      <c r="F89" t="s">
        <v>495</v>
      </c>
      <c r="G89" t="s">
        <v>496</v>
      </c>
      <c r="H89">
        <v>1</v>
      </c>
      <c r="I89">
        <v>0</v>
      </c>
      <c r="J89" t="s">
        <v>497</v>
      </c>
      <c r="K89" t="s">
        <v>498</v>
      </c>
      <c r="L89">
        <v>0</v>
      </c>
      <c r="M89" s="2">
        <f t="array" ref="M89">SUM((A89=$A$2:$A$127)*1)</f>
        <v>1</v>
      </c>
    </row>
    <row r="90" spans="1:13">
      <c r="A90" t="s">
        <v>499</v>
      </c>
      <c r="B90" t="s">
        <v>13</v>
      </c>
      <c r="C90" t="s">
        <v>500</v>
      </c>
      <c r="D90" t="s">
        <v>501</v>
      </c>
      <c r="E90" t="s">
        <v>502</v>
      </c>
      <c r="F90" t="s">
        <v>503</v>
      </c>
      <c r="G90" t="s">
        <v>504</v>
      </c>
      <c r="H90">
        <v>0</v>
      </c>
      <c r="I90">
        <v>1</v>
      </c>
      <c r="J90" t="s">
        <v>505</v>
      </c>
      <c r="K90" t="s">
        <v>506</v>
      </c>
      <c r="L90">
        <v>0</v>
      </c>
      <c r="M90" s="2">
        <f t="array" ref="M90">SUM((A90=$A$2:$A$127)*1)</f>
        <v>1</v>
      </c>
    </row>
    <row r="91" spans="1:13">
      <c r="A91" t="s">
        <v>507</v>
      </c>
      <c r="B91" t="s">
        <v>13</v>
      </c>
      <c r="C91" t="s">
        <v>508</v>
      </c>
      <c r="D91" t="s">
        <v>509</v>
      </c>
      <c r="E91" t="s">
        <v>510</v>
      </c>
      <c r="F91" t="s">
        <v>23</v>
      </c>
      <c r="G91" t="s">
        <v>511</v>
      </c>
      <c r="H91">
        <v>0</v>
      </c>
      <c r="I91">
        <v>1</v>
      </c>
      <c r="J91" t="s">
        <v>512</v>
      </c>
      <c r="K91" t="s">
        <v>513</v>
      </c>
      <c r="L91">
        <v>0</v>
      </c>
      <c r="M91" s="2">
        <f t="array" ref="M91">SUM((A91=$A$2:$A$127)*1)</f>
        <v>1</v>
      </c>
    </row>
    <row r="92" spans="1:13">
      <c r="A92" t="s">
        <v>514</v>
      </c>
      <c r="B92" t="s">
        <v>13</v>
      </c>
      <c r="C92" t="s">
        <v>508</v>
      </c>
      <c r="D92" t="s">
        <v>509</v>
      </c>
      <c r="E92" t="s">
        <v>515</v>
      </c>
      <c r="F92" t="s">
        <v>516</v>
      </c>
      <c r="G92" t="s">
        <v>517</v>
      </c>
      <c r="H92">
        <v>0</v>
      </c>
      <c r="I92">
        <v>1</v>
      </c>
      <c r="J92" t="s">
        <v>518</v>
      </c>
      <c r="K92" t="s">
        <v>519</v>
      </c>
      <c r="L92">
        <v>0</v>
      </c>
      <c r="M92" s="2">
        <f t="array" ref="M92">SUM((A92=$A$2:$A$127)*1)</f>
        <v>1</v>
      </c>
    </row>
    <row r="93" spans="1:13">
      <c r="A93" t="s">
        <v>520</v>
      </c>
      <c r="B93" t="s">
        <v>13</v>
      </c>
      <c r="C93" t="s">
        <v>508</v>
      </c>
      <c r="D93" t="s">
        <v>509</v>
      </c>
      <c r="E93" t="s">
        <v>521</v>
      </c>
      <c r="F93" t="s">
        <v>522</v>
      </c>
      <c r="G93" t="s">
        <v>523</v>
      </c>
      <c r="H93">
        <v>0</v>
      </c>
      <c r="I93">
        <v>1</v>
      </c>
      <c r="J93" t="s">
        <v>524</v>
      </c>
      <c r="K93" t="s">
        <v>525</v>
      </c>
      <c r="L93">
        <v>0</v>
      </c>
      <c r="M93" s="2">
        <f t="array" ref="M93">SUM((A93=$A$2:$A$127)*1)</f>
        <v>1</v>
      </c>
    </row>
    <row r="94" spans="1:13">
      <c r="A94" t="s">
        <v>526</v>
      </c>
      <c r="B94" t="s">
        <v>13</v>
      </c>
      <c r="C94" t="s">
        <v>508</v>
      </c>
      <c r="D94" t="s">
        <v>509</v>
      </c>
      <c r="E94" t="s">
        <v>527</v>
      </c>
      <c r="F94" t="s">
        <v>336</v>
      </c>
      <c r="G94" t="s">
        <v>517</v>
      </c>
      <c r="H94">
        <v>0</v>
      </c>
      <c r="I94">
        <v>1</v>
      </c>
      <c r="J94" t="s">
        <v>528</v>
      </c>
      <c r="K94" t="s">
        <v>529</v>
      </c>
      <c r="L94">
        <v>0</v>
      </c>
      <c r="M94" s="2">
        <f t="array" ref="M94">SUM((A94=$A$2:$A$127)*1)</f>
        <v>1</v>
      </c>
    </row>
    <row r="95" spans="1:13">
      <c r="A95" t="s">
        <v>530</v>
      </c>
      <c r="B95" t="s">
        <v>42</v>
      </c>
      <c r="C95" t="s">
        <v>531</v>
      </c>
      <c r="D95" t="s">
        <v>532</v>
      </c>
      <c r="E95" t="s">
        <v>533</v>
      </c>
      <c r="F95" t="s">
        <v>534</v>
      </c>
      <c r="G95" t="s">
        <v>535</v>
      </c>
      <c r="H95">
        <v>1</v>
      </c>
      <c r="I95">
        <v>0</v>
      </c>
      <c r="J95" t="s">
        <v>536</v>
      </c>
      <c r="K95" t="s">
        <v>537</v>
      </c>
      <c r="L95">
        <v>0</v>
      </c>
      <c r="M95" s="2">
        <f t="array" ref="M95">SUM((A95=$A$2:$A$127)*1)</f>
        <v>1</v>
      </c>
    </row>
    <row r="96" spans="1:13">
      <c r="A96" t="s">
        <v>538</v>
      </c>
      <c r="B96" t="s">
        <v>42</v>
      </c>
      <c r="C96" t="s">
        <v>531</v>
      </c>
      <c r="D96" t="s">
        <v>532</v>
      </c>
      <c r="E96" t="s">
        <v>539</v>
      </c>
      <c r="F96" t="s">
        <v>540</v>
      </c>
      <c r="G96" t="s">
        <v>535</v>
      </c>
      <c r="H96">
        <v>1</v>
      </c>
      <c r="I96">
        <v>0</v>
      </c>
      <c r="J96" t="s">
        <v>541</v>
      </c>
      <c r="K96" t="s">
        <v>542</v>
      </c>
      <c r="L96">
        <v>0</v>
      </c>
      <c r="M96" s="2">
        <f t="array" ref="M96">SUM((A96=$A$2:$A$127)*1)</f>
        <v>1</v>
      </c>
    </row>
    <row r="97" spans="1:13">
      <c r="A97" t="s">
        <v>543</v>
      </c>
      <c r="B97" t="s">
        <v>42</v>
      </c>
      <c r="C97" t="s">
        <v>531</v>
      </c>
      <c r="D97" t="s">
        <v>532</v>
      </c>
      <c r="E97" t="s">
        <v>544</v>
      </c>
      <c r="F97" t="s">
        <v>545</v>
      </c>
      <c r="G97" t="s">
        <v>546</v>
      </c>
      <c r="H97">
        <v>1</v>
      </c>
      <c r="I97">
        <v>0</v>
      </c>
      <c r="J97" t="s">
        <v>547</v>
      </c>
      <c r="K97" t="s">
        <v>548</v>
      </c>
      <c r="L97">
        <v>0</v>
      </c>
      <c r="M97" s="2">
        <f t="array" ref="M97">SUM((A97=$A$2:$A$127)*1)</f>
        <v>1</v>
      </c>
    </row>
    <row r="98" spans="1:13">
      <c r="A98" t="s">
        <v>549</v>
      </c>
      <c r="B98" t="s">
        <v>42</v>
      </c>
      <c r="C98" t="s">
        <v>531</v>
      </c>
      <c r="D98" t="s">
        <v>532</v>
      </c>
      <c r="E98" t="s">
        <v>550</v>
      </c>
      <c r="F98" t="s">
        <v>551</v>
      </c>
      <c r="G98" t="s">
        <v>535</v>
      </c>
      <c r="H98">
        <v>1</v>
      </c>
      <c r="I98">
        <v>0</v>
      </c>
      <c r="J98" t="s">
        <v>552</v>
      </c>
      <c r="K98" t="s">
        <v>553</v>
      </c>
      <c r="L98">
        <v>0</v>
      </c>
      <c r="M98" s="2">
        <f t="array" ref="M98">SUM((A98=$A$2:$A$127)*1)</f>
        <v>1</v>
      </c>
    </row>
    <row r="99" spans="1:13">
      <c r="A99" t="s">
        <v>554</v>
      </c>
      <c r="B99" t="s">
        <v>42</v>
      </c>
      <c r="C99" t="s">
        <v>531</v>
      </c>
      <c r="D99" t="s">
        <v>532</v>
      </c>
      <c r="E99" t="s">
        <v>555</v>
      </c>
      <c r="F99" t="s">
        <v>540</v>
      </c>
      <c r="G99" t="s">
        <v>546</v>
      </c>
      <c r="H99">
        <v>1</v>
      </c>
      <c r="I99">
        <v>0</v>
      </c>
      <c r="J99" t="s">
        <v>556</v>
      </c>
      <c r="K99" t="s">
        <v>557</v>
      </c>
      <c r="L99">
        <v>0</v>
      </c>
      <c r="M99" s="2">
        <f t="array" ref="M99">SUM((A99=$A$2:$A$127)*1)</f>
        <v>1</v>
      </c>
    </row>
    <row r="100" spans="1:13">
      <c r="A100" t="s">
        <v>558</v>
      </c>
      <c r="B100" t="s">
        <v>42</v>
      </c>
      <c r="C100" t="s">
        <v>531</v>
      </c>
      <c r="D100" t="s">
        <v>532</v>
      </c>
      <c r="E100" t="s">
        <v>559</v>
      </c>
      <c r="F100" t="s">
        <v>560</v>
      </c>
      <c r="G100" t="s">
        <v>535</v>
      </c>
      <c r="H100">
        <v>1</v>
      </c>
      <c r="I100">
        <v>0</v>
      </c>
      <c r="J100" t="s">
        <v>561</v>
      </c>
      <c r="K100" t="s">
        <v>562</v>
      </c>
      <c r="L100">
        <v>0</v>
      </c>
      <c r="M100" s="2">
        <f t="array" ref="M100">SUM((A100=$A$2:$A$127)*1)</f>
        <v>1</v>
      </c>
    </row>
    <row r="101" spans="1:13">
      <c r="A101" t="s">
        <v>563</v>
      </c>
      <c r="B101" t="s">
        <v>42</v>
      </c>
      <c r="C101" t="s">
        <v>531</v>
      </c>
      <c r="D101" t="s">
        <v>532</v>
      </c>
      <c r="E101" t="s">
        <v>564</v>
      </c>
      <c r="F101" t="s">
        <v>565</v>
      </c>
      <c r="G101" t="s">
        <v>535</v>
      </c>
      <c r="H101">
        <v>1</v>
      </c>
      <c r="I101">
        <v>0</v>
      </c>
      <c r="J101" t="s">
        <v>566</v>
      </c>
      <c r="K101" t="s">
        <v>567</v>
      </c>
      <c r="L101">
        <v>0</v>
      </c>
      <c r="M101" s="2">
        <f t="array" ref="M101">SUM((A101=$A$2:$A$127)*1)</f>
        <v>1</v>
      </c>
    </row>
    <row r="102" spans="1:13">
      <c r="A102" t="s">
        <v>568</v>
      </c>
      <c r="B102" t="s">
        <v>42</v>
      </c>
      <c r="C102" t="s">
        <v>531</v>
      </c>
      <c r="D102" t="s">
        <v>532</v>
      </c>
      <c r="E102" t="s">
        <v>569</v>
      </c>
      <c r="F102" t="s">
        <v>570</v>
      </c>
      <c r="G102" t="s">
        <v>546</v>
      </c>
      <c r="H102">
        <v>1</v>
      </c>
      <c r="I102">
        <v>0</v>
      </c>
      <c r="J102" t="s">
        <v>571</v>
      </c>
      <c r="K102" t="s">
        <v>572</v>
      </c>
      <c r="L102">
        <v>0</v>
      </c>
      <c r="M102" s="2">
        <f t="array" ref="M102">SUM((A102=$A$2:$A$127)*1)</f>
        <v>1</v>
      </c>
    </row>
    <row r="103" spans="1:13">
      <c r="A103" t="s">
        <v>573</v>
      </c>
      <c r="B103" t="s">
        <v>42</v>
      </c>
      <c r="C103" t="s">
        <v>531</v>
      </c>
      <c r="D103" t="s">
        <v>532</v>
      </c>
      <c r="E103" t="s">
        <v>574</v>
      </c>
      <c r="F103" t="s">
        <v>336</v>
      </c>
      <c r="G103" t="s">
        <v>535</v>
      </c>
      <c r="H103">
        <v>1</v>
      </c>
      <c r="I103">
        <v>0</v>
      </c>
      <c r="J103" t="s">
        <v>575</v>
      </c>
      <c r="K103" t="s">
        <v>576</v>
      </c>
      <c r="L103">
        <v>0</v>
      </c>
      <c r="M103" s="2">
        <f t="array" ref="M103">SUM((A103=$A$2:$A$127)*1)</f>
        <v>1</v>
      </c>
    </row>
    <row r="104" spans="1:13">
      <c r="A104" t="s">
        <v>577</v>
      </c>
      <c r="B104" t="s">
        <v>42</v>
      </c>
      <c r="C104" t="s">
        <v>531</v>
      </c>
      <c r="D104" t="s">
        <v>532</v>
      </c>
      <c r="E104" t="s">
        <v>578</v>
      </c>
      <c r="F104" t="s">
        <v>570</v>
      </c>
      <c r="G104" t="s">
        <v>535</v>
      </c>
      <c r="H104">
        <v>1</v>
      </c>
      <c r="I104">
        <v>0</v>
      </c>
      <c r="J104" t="s">
        <v>579</v>
      </c>
      <c r="K104" t="s">
        <v>580</v>
      </c>
      <c r="L104">
        <v>0</v>
      </c>
      <c r="M104" s="2">
        <f t="array" ref="M104">SUM((A104=$A$2:$A$127)*1)</f>
        <v>1</v>
      </c>
    </row>
    <row r="105" spans="1:13">
      <c r="A105" t="s">
        <v>581</v>
      </c>
      <c r="B105" t="s">
        <v>42</v>
      </c>
      <c r="C105" t="s">
        <v>531</v>
      </c>
      <c r="D105" t="s">
        <v>532</v>
      </c>
      <c r="E105" t="s">
        <v>582</v>
      </c>
      <c r="F105" t="s">
        <v>583</v>
      </c>
      <c r="G105" t="s">
        <v>535</v>
      </c>
      <c r="H105">
        <v>1</v>
      </c>
      <c r="I105">
        <v>0</v>
      </c>
      <c r="J105" t="s">
        <v>584</v>
      </c>
      <c r="K105" t="s">
        <v>585</v>
      </c>
      <c r="L105">
        <v>0</v>
      </c>
      <c r="M105" s="2">
        <f t="array" ref="M105">SUM((A105=$A$2:$A$127)*1)</f>
        <v>1</v>
      </c>
    </row>
    <row r="106" spans="1:13">
      <c r="A106" t="s">
        <v>586</v>
      </c>
      <c r="B106" t="s">
        <v>42</v>
      </c>
      <c r="C106" t="s">
        <v>531</v>
      </c>
      <c r="D106" t="s">
        <v>532</v>
      </c>
      <c r="E106" t="s">
        <v>587</v>
      </c>
      <c r="F106" t="s">
        <v>516</v>
      </c>
      <c r="G106" t="s">
        <v>535</v>
      </c>
      <c r="H106">
        <v>1</v>
      </c>
      <c r="I106">
        <v>0</v>
      </c>
      <c r="J106" t="s">
        <v>588</v>
      </c>
      <c r="K106" t="s">
        <v>589</v>
      </c>
      <c r="L106">
        <v>0</v>
      </c>
      <c r="M106" s="2">
        <f t="array" ref="M106">SUM((A106=$A$2:$A$127)*1)</f>
        <v>1</v>
      </c>
    </row>
    <row r="107" spans="1:13">
      <c r="A107" t="s">
        <v>590</v>
      </c>
      <c r="B107" t="s">
        <v>42</v>
      </c>
      <c r="C107" t="s">
        <v>531</v>
      </c>
      <c r="D107" t="s">
        <v>532</v>
      </c>
      <c r="E107" t="s">
        <v>591</v>
      </c>
      <c r="F107" t="s">
        <v>516</v>
      </c>
      <c r="G107" t="s">
        <v>535</v>
      </c>
      <c r="H107">
        <v>1</v>
      </c>
      <c r="I107">
        <v>0</v>
      </c>
      <c r="J107" t="s">
        <v>592</v>
      </c>
      <c r="K107" t="s">
        <v>593</v>
      </c>
      <c r="L107">
        <v>0</v>
      </c>
      <c r="M107" s="2">
        <f t="array" ref="M107">SUM((A107=$A$2:$A$127)*1)</f>
        <v>1</v>
      </c>
    </row>
    <row r="108" spans="1:13">
      <c r="A108" t="s">
        <v>594</v>
      </c>
      <c r="B108" t="s">
        <v>42</v>
      </c>
      <c r="C108" t="s">
        <v>531</v>
      </c>
      <c r="D108" t="s">
        <v>532</v>
      </c>
      <c r="E108" t="s">
        <v>595</v>
      </c>
      <c r="F108" t="s">
        <v>583</v>
      </c>
      <c r="G108" t="s">
        <v>546</v>
      </c>
      <c r="H108">
        <v>1</v>
      </c>
      <c r="I108">
        <v>0</v>
      </c>
      <c r="J108" t="s">
        <v>596</v>
      </c>
      <c r="K108" t="s">
        <v>597</v>
      </c>
      <c r="L108">
        <v>0</v>
      </c>
      <c r="M108" s="2">
        <f t="array" ref="M108">SUM((A108=$A$2:$A$127)*1)</f>
        <v>1</v>
      </c>
    </row>
    <row r="109" spans="1:13">
      <c r="A109" t="s">
        <v>598</v>
      </c>
      <c r="B109" t="s">
        <v>42</v>
      </c>
      <c r="C109" t="s">
        <v>531</v>
      </c>
      <c r="D109" t="s">
        <v>532</v>
      </c>
      <c r="E109" t="s">
        <v>599</v>
      </c>
      <c r="F109" t="s">
        <v>600</v>
      </c>
      <c r="G109" t="s">
        <v>535</v>
      </c>
      <c r="H109">
        <v>1</v>
      </c>
      <c r="I109">
        <v>0</v>
      </c>
      <c r="J109" t="s">
        <v>601</v>
      </c>
      <c r="K109" t="s">
        <v>602</v>
      </c>
      <c r="L109">
        <v>0</v>
      </c>
      <c r="M109" s="2">
        <f t="array" ref="M109">SUM((A109=$A$2:$A$127)*1)</f>
        <v>1</v>
      </c>
    </row>
    <row r="110" spans="1:13">
      <c r="A110" t="s">
        <v>603</v>
      </c>
      <c r="B110" t="s">
        <v>42</v>
      </c>
      <c r="C110" t="s">
        <v>531</v>
      </c>
      <c r="D110" t="s">
        <v>532</v>
      </c>
      <c r="E110" t="s">
        <v>604</v>
      </c>
      <c r="F110" t="s">
        <v>565</v>
      </c>
      <c r="G110" t="s">
        <v>546</v>
      </c>
      <c r="H110">
        <v>1</v>
      </c>
      <c r="I110">
        <v>0</v>
      </c>
      <c r="J110" t="s">
        <v>605</v>
      </c>
      <c r="K110" t="s">
        <v>606</v>
      </c>
      <c r="L110">
        <v>0</v>
      </c>
      <c r="M110" s="2">
        <f t="array" ref="M110">SUM((A110=$A$2:$A$127)*1)</f>
        <v>1</v>
      </c>
    </row>
    <row r="111" spans="1:13">
      <c r="A111" t="s">
        <v>607</v>
      </c>
      <c r="B111" t="s">
        <v>42</v>
      </c>
      <c r="C111" t="s">
        <v>531</v>
      </c>
      <c r="D111" t="s">
        <v>532</v>
      </c>
      <c r="E111" t="s">
        <v>608</v>
      </c>
      <c r="F111" t="s">
        <v>540</v>
      </c>
      <c r="G111" t="s">
        <v>535</v>
      </c>
      <c r="H111">
        <v>1</v>
      </c>
      <c r="I111">
        <v>0</v>
      </c>
      <c r="J111" t="s">
        <v>609</v>
      </c>
      <c r="K111" t="s">
        <v>610</v>
      </c>
      <c r="L111">
        <v>0</v>
      </c>
      <c r="M111" s="2">
        <f t="array" ref="M111">SUM((A111=$A$2:$A$127)*1)</f>
        <v>1</v>
      </c>
    </row>
    <row r="112" spans="1:13">
      <c r="A112" t="s">
        <v>611</v>
      </c>
      <c r="B112" t="s">
        <v>42</v>
      </c>
      <c r="C112" t="s">
        <v>531</v>
      </c>
      <c r="D112" t="s">
        <v>532</v>
      </c>
      <c r="E112" t="s">
        <v>612</v>
      </c>
      <c r="F112" t="s">
        <v>600</v>
      </c>
      <c r="G112" t="s">
        <v>535</v>
      </c>
      <c r="H112">
        <v>1</v>
      </c>
      <c r="I112">
        <v>0</v>
      </c>
      <c r="J112" t="s">
        <v>613</v>
      </c>
      <c r="K112" t="s">
        <v>614</v>
      </c>
      <c r="L112">
        <v>0</v>
      </c>
      <c r="M112" s="2">
        <f t="array" ref="M112">SUM((A112=$A$2:$A$127)*1)</f>
        <v>1</v>
      </c>
    </row>
    <row r="113" spans="1:13">
      <c r="A113" t="s">
        <v>615</v>
      </c>
      <c r="B113" t="s">
        <v>42</v>
      </c>
      <c r="C113" t="s">
        <v>531</v>
      </c>
      <c r="D113" t="s">
        <v>532</v>
      </c>
      <c r="E113" t="s">
        <v>616</v>
      </c>
      <c r="F113" t="s">
        <v>583</v>
      </c>
      <c r="G113" t="s">
        <v>535</v>
      </c>
      <c r="H113">
        <v>1</v>
      </c>
      <c r="I113">
        <v>0</v>
      </c>
      <c r="J113" t="s">
        <v>617</v>
      </c>
      <c r="K113" t="s">
        <v>618</v>
      </c>
      <c r="L113">
        <v>0</v>
      </c>
      <c r="M113" s="2">
        <f t="array" ref="M113">SUM((A113=$A$2:$A$127)*1)</f>
        <v>1</v>
      </c>
    </row>
    <row r="114" spans="1:13">
      <c r="A114" t="s">
        <v>619</v>
      </c>
      <c r="B114" t="s">
        <v>42</v>
      </c>
      <c r="C114" t="s">
        <v>531</v>
      </c>
      <c r="D114" t="s">
        <v>532</v>
      </c>
      <c r="E114" t="s">
        <v>620</v>
      </c>
      <c r="F114" t="s">
        <v>545</v>
      </c>
      <c r="G114" t="s">
        <v>535</v>
      </c>
      <c r="H114">
        <v>1</v>
      </c>
      <c r="I114">
        <v>0</v>
      </c>
      <c r="J114" t="s">
        <v>621</v>
      </c>
      <c r="K114" t="s">
        <v>622</v>
      </c>
      <c r="L114">
        <v>0</v>
      </c>
      <c r="M114" s="2">
        <f t="array" ref="M114">SUM((A114=$A$2:$A$127)*1)</f>
        <v>1</v>
      </c>
    </row>
    <row r="115" spans="1:13">
      <c r="A115" t="s">
        <v>623</v>
      </c>
      <c r="B115" t="s">
        <v>42</v>
      </c>
      <c r="C115" t="s">
        <v>531</v>
      </c>
      <c r="D115" t="s">
        <v>532</v>
      </c>
      <c r="E115" t="s">
        <v>624</v>
      </c>
      <c r="F115" t="s">
        <v>336</v>
      </c>
      <c r="G115" t="s">
        <v>535</v>
      </c>
      <c r="H115">
        <v>1</v>
      </c>
      <c r="I115">
        <v>0</v>
      </c>
      <c r="J115" t="s">
        <v>625</v>
      </c>
      <c r="K115" t="s">
        <v>626</v>
      </c>
      <c r="L115">
        <v>0</v>
      </c>
      <c r="M115" s="2">
        <f t="array" ref="M115">SUM((A115=$A$2:$A$127)*1)</f>
        <v>1</v>
      </c>
    </row>
    <row r="116" spans="1:13">
      <c r="A116" t="s">
        <v>627</v>
      </c>
      <c r="B116" t="s">
        <v>42</v>
      </c>
      <c r="C116" t="s">
        <v>531</v>
      </c>
      <c r="D116" t="s">
        <v>532</v>
      </c>
      <c r="E116" t="s">
        <v>628</v>
      </c>
      <c r="F116" t="s">
        <v>545</v>
      </c>
      <c r="G116" t="s">
        <v>535</v>
      </c>
      <c r="H116">
        <v>1</v>
      </c>
      <c r="I116">
        <v>0</v>
      </c>
      <c r="J116" t="s">
        <v>629</v>
      </c>
      <c r="K116" t="s">
        <v>630</v>
      </c>
      <c r="L116">
        <v>0</v>
      </c>
      <c r="M116" s="2">
        <f t="array" ref="M116">SUM((A116=$A$2:$A$127)*1)</f>
        <v>1</v>
      </c>
    </row>
    <row r="117" spans="1:13">
      <c r="A117" t="s">
        <v>631</v>
      </c>
      <c r="B117" t="s">
        <v>42</v>
      </c>
      <c r="C117" t="s">
        <v>531</v>
      </c>
      <c r="D117" t="s">
        <v>532</v>
      </c>
      <c r="E117" t="s">
        <v>632</v>
      </c>
      <c r="F117" t="s">
        <v>633</v>
      </c>
      <c r="G117" t="s">
        <v>535</v>
      </c>
      <c r="H117">
        <v>1</v>
      </c>
      <c r="I117">
        <v>0</v>
      </c>
      <c r="J117" t="s">
        <v>634</v>
      </c>
      <c r="K117" t="s">
        <v>635</v>
      </c>
      <c r="L117">
        <v>0</v>
      </c>
      <c r="M117" s="2">
        <f t="array" ref="M117">SUM((A117=$A$2:$A$127)*1)</f>
        <v>1</v>
      </c>
    </row>
    <row r="118" spans="1:13">
      <c r="A118" t="s">
        <v>636</v>
      </c>
      <c r="B118" t="s">
        <v>42</v>
      </c>
      <c r="C118" t="s">
        <v>531</v>
      </c>
      <c r="D118" t="s">
        <v>532</v>
      </c>
      <c r="E118" t="s">
        <v>637</v>
      </c>
      <c r="F118" t="s">
        <v>638</v>
      </c>
      <c r="G118" t="s">
        <v>546</v>
      </c>
      <c r="H118">
        <v>1</v>
      </c>
      <c r="I118">
        <v>0</v>
      </c>
      <c r="J118" t="s">
        <v>639</v>
      </c>
      <c r="K118" t="s">
        <v>640</v>
      </c>
      <c r="L118">
        <v>0</v>
      </c>
      <c r="M118" s="2">
        <f t="array" ref="M118">SUM((A118=$A$2:$A$127)*1)</f>
        <v>1</v>
      </c>
    </row>
    <row r="119" spans="1:13">
      <c r="A119" t="s">
        <v>641</v>
      </c>
      <c r="B119" t="s">
        <v>13</v>
      </c>
      <c r="C119" t="s">
        <v>642</v>
      </c>
      <c r="D119" t="s">
        <v>643</v>
      </c>
      <c r="E119" t="s">
        <v>644</v>
      </c>
      <c r="F119" t="s">
        <v>645</v>
      </c>
      <c r="G119" t="s">
        <v>646</v>
      </c>
      <c r="H119">
        <v>1</v>
      </c>
      <c r="I119">
        <v>0</v>
      </c>
      <c r="J119" t="s">
        <v>647</v>
      </c>
      <c r="K119" t="s">
        <v>648</v>
      </c>
      <c r="L119">
        <v>0</v>
      </c>
      <c r="M119" s="2">
        <f t="array" ref="M119">SUM((A119=$A$2:$A$127)*1)</f>
        <v>1</v>
      </c>
    </row>
    <row r="120" spans="1:13">
      <c r="A120" t="s">
        <v>649</v>
      </c>
      <c r="B120" t="s">
        <v>42</v>
      </c>
      <c r="C120" t="s">
        <v>650</v>
      </c>
      <c r="D120" t="s">
        <v>651</v>
      </c>
      <c r="E120" t="s">
        <v>652</v>
      </c>
      <c r="F120" t="s">
        <v>653</v>
      </c>
      <c r="G120" t="s">
        <v>654</v>
      </c>
      <c r="H120">
        <v>1</v>
      </c>
      <c r="I120">
        <v>0</v>
      </c>
      <c r="J120" t="s">
        <v>655</v>
      </c>
      <c r="K120" t="s">
        <v>656</v>
      </c>
      <c r="L120">
        <v>0</v>
      </c>
      <c r="M120" s="2">
        <f t="array" ref="M120">SUM((A120=$A$2:$A$127)*1)</f>
        <v>1</v>
      </c>
    </row>
    <row r="121" spans="1:13">
      <c r="A121" t="s">
        <v>657</v>
      </c>
      <c r="B121" t="s">
        <v>42</v>
      </c>
      <c r="C121" t="s">
        <v>650</v>
      </c>
      <c r="D121" t="s">
        <v>651</v>
      </c>
      <c r="E121" t="s">
        <v>658</v>
      </c>
      <c r="F121" t="s">
        <v>659</v>
      </c>
      <c r="G121" t="s">
        <v>660</v>
      </c>
      <c r="H121">
        <v>1</v>
      </c>
      <c r="I121">
        <v>0</v>
      </c>
      <c r="J121" t="s">
        <v>661</v>
      </c>
      <c r="K121" t="s">
        <v>662</v>
      </c>
      <c r="L121">
        <v>0</v>
      </c>
      <c r="M121" s="2">
        <f t="array" ref="M121">SUM((A121=$A$2:$A$127)*1)</f>
        <v>1</v>
      </c>
    </row>
    <row r="122" spans="1:13">
      <c r="A122" t="s">
        <v>663</v>
      </c>
      <c r="B122" t="s">
        <v>42</v>
      </c>
      <c r="C122" t="s">
        <v>650</v>
      </c>
      <c r="D122" t="s">
        <v>651</v>
      </c>
      <c r="E122" t="s">
        <v>664</v>
      </c>
      <c r="F122" t="s">
        <v>665</v>
      </c>
      <c r="G122" t="s">
        <v>666</v>
      </c>
      <c r="H122">
        <v>1</v>
      </c>
      <c r="I122">
        <v>0</v>
      </c>
      <c r="J122" t="s">
        <v>667</v>
      </c>
      <c r="K122" t="s">
        <v>668</v>
      </c>
      <c r="L122">
        <v>0</v>
      </c>
      <c r="M122" s="2">
        <f t="array" ref="M122">SUM((A122=$A$2:$A$127)*1)</f>
        <v>1</v>
      </c>
    </row>
    <row r="123" spans="1:13">
      <c r="A123" t="s">
        <v>669</v>
      </c>
      <c r="B123" t="s">
        <v>42</v>
      </c>
      <c r="C123" t="s">
        <v>670</v>
      </c>
      <c r="D123" t="s">
        <v>671</v>
      </c>
      <c r="E123" t="s">
        <v>672</v>
      </c>
      <c r="F123" t="s">
        <v>673</v>
      </c>
      <c r="G123" t="s">
        <v>674</v>
      </c>
      <c r="H123">
        <v>1</v>
      </c>
      <c r="I123">
        <v>0</v>
      </c>
      <c r="J123" t="s">
        <v>675</v>
      </c>
      <c r="K123" t="s">
        <v>676</v>
      </c>
      <c r="L123">
        <v>0</v>
      </c>
      <c r="M123" s="2">
        <f t="array" ref="M123">SUM((A123=$A$2:$A$127)*1)</f>
        <v>1</v>
      </c>
    </row>
    <row r="124" spans="1:13">
      <c r="A124" t="s">
        <v>677</v>
      </c>
      <c r="B124" t="s">
        <v>13</v>
      </c>
      <c r="C124" t="s">
        <v>678</v>
      </c>
      <c r="D124" t="s">
        <v>679</v>
      </c>
      <c r="E124" t="s">
        <v>680</v>
      </c>
      <c r="F124" t="s">
        <v>681</v>
      </c>
      <c r="G124" t="s">
        <v>682</v>
      </c>
      <c r="H124">
        <v>1</v>
      </c>
      <c r="I124">
        <v>0</v>
      </c>
      <c r="J124" t="s">
        <v>683</v>
      </c>
      <c r="K124" t="s">
        <v>684</v>
      </c>
      <c r="L124">
        <v>0</v>
      </c>
      <c r="M124" s="2">
        <f t="array" ref="M124">SUM((A124=$A$2:$A$127)*1)</f>
        <v>1</v>
      </c>
    </row>
    <row r="125" spans="1:13">
      <c r="A125" t="s">
        <v>685</v>
      </c>
      <c r="B125" t="s">
        <v>13</v>
      </c>
      <c r="C125" t="s">
        <v>678</v>
      </c>
      <c r="D125" t="s">
        <v>679</v>
      </c>
      <c r="E125" t="s">
        <v>686</v>
      </c>
      <c r="F125" t="s">
        <v>687</v>
      </c>
      <c r="G125" t="s">
        <v>682</v>
      </c>
      <c r="H125">
        <v>1</v>
      </c>
      <c r="I125">
        <v>0</v>
      </c>
      <c r="J125" t="s">
        <v>688</v>
      </c>
      <c r="K125" t="s">
        <v>689</v>
      </c>
      <c r="L125">
        <v>0</v>
      </c>
      <c r="M125" s="2">
        <f t="array" ref="M125">SUM((A125=$A$2:$A$127)*1)</f>
        <v>1</v>
      </c>
    </row>
    <row r="126" spans="1:13">
      <c r="A126" t="s">
        <v>690</v>
      </c>
      <c r="B126" t="s">
        <v>42</v>
      </c>
      <c r="C126" t="s">
        <v>691</v>
      </c>
      <c r="D126" t="s">
        <v>692</v>
      </c>
      <c r="E126" t="s">
        <v>693</v>
      </c>
      <c r="F126" t="s">
        <v>694</v>
      </c>
      <c r="G126" t="s">
        <v>695</v>
      </c>
      <c r="H126">
        <v>1</v>
      </c>
      <c r="I126">
        <v>0</v>
      </c>
      <c r="J126" t="s">
        <v>696</v>
      </c>
      <c r="K126" t="s">
        <v>697</v>
      </c>
      <c r="L126">
        <v>0</v>
      </c>
      <c r="M126" s="2">
        <f t="array" ref="M126">SUM((A126=$A$2:$A$127)*1)</f>
        <v>1</v>
      </c>
    </row>
    <row r="127" spans="1:13">
      <c r="A127" t="s">
        <v>698</v>
      </c>
      <c r="B127" t="s">
        <v>42</v>
      </c>
      <c r="C127" t="s">
        <v>691</v>
      </c>
      <c r="D127" t="s">
        <v>692</v>
      </c>
      <c r="E127" t="s">
        <v>699</v>
      </c>
      <c r="F127" t="s">
        <v>700</v>
      </c>
      <c r="G127" t="s">
        <v>695</v>
      </c>
      <c r="H127">
        <v>1</v>
      </c>
      <c r="I127">
        <v>0</v>
      </c>
      <c r="J127" t="s">
        <v>701</v>
      </c>
      <c r="K127" t="s">
        <v>702</v>
      </c>
      <c r="L127">
        <v>0</v>
      </c>
      <c r="M127" s="2">
        <f t="array" ref="M127">SUM((A127=$A$2:$A$127)*1)</f>
        <v>1</v>
      </c>
    </row>
  </sheetData>
  <autoFilter ref="A1:M12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JR Sousa</cp:lastModifiedBy>
  <dcterms:created xsi:type="dcterms:W3CDTF">2026-07-12T18:54:14Z</dcterms:created>
  <dcterms:modified xsi:type="dcterms:W3CDTF">2026-07-12T19:00:00Z</dcterms:modified>
</cp:coreProperties>
</file>