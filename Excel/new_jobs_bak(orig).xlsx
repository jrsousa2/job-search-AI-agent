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132" yWindow="516" windowWidth="22716" windowHeight="8940"/>
  </bookViews>
  <sheets>
    <sheet name="new_jobs" sheetId="1" r:id="rId1"/>
    <sheet name="Hist" sheetId="2" r:id="rId2"/>
  </sheets>
  <definedNames>
    <definedName name="_xlnm._FilterDatabase" localSheetId="0" hidden="1">new_jobs!$A$1:$O$127</definedName>
  </definedNames>
  <calcPr calcId="145621"/>
</workbook>
</file>

<file path=xl/calcChain.xml><?xml version="1.0" encoding="utf-8"?>
<calcChain xmlns="http://schemas.openxmlformats.org/spreadsheetml/2006/main">
  <c r="A3" i="1" l="1" a="1"/>
  <c r="A3" i="1" s="1"/>
  <c r="A4" i="1" a="1"/>
  <c r="A4" i="1" s="1"/>
  <c r="A5" i="1" a="1"/>
  <c r="A5" i="1" s="1"/>
  <c r="A6" i="1" a="1"/>
  <c r="A6" i="1" s="1"/>
  <c r="A7" i="1" a="1"/>
  <c r="A7" i="1" s="1"/>
  <c r="A8" i="1" a="1"/>
  <c r="A8" i="1" s="1"/>
  <c r="A9" i="1" a="1"/>
  <c r="A9" i="1" s="1"/>
  <c r="A10" i="1" a="1"/>
  <c r="A10" i="1" s="1"/>
  <c r="A11" i="1" a="1"/>
  <c r="A11" i="1" s="1"/>
  <c r="A12" i="1" a="1"/>
  <c r="A12" i="1" s="1"/>
  <c r="A13" i="1" a="1"/>
  <c r="A13" i="1" s="1"/>
  <c r="A14" i="1" a="1"/>
  <c r="A14" i="1" s="1"/>
  <c r="A15" i="1" a="1"/>
  <c r="A15" i="1" s="1"/>
  <c r="A16" i="1" a="1"/>
  <c r="A16" i="1" s="1"/>
  <c r="A17" i="1" a="1"/>
  <c r="A17" i="1" s="1"/>
  <c r="A18" i="1" a="1"/>
  <c r="A18" i="1" s="1"/>
  <c r="A19" i="1" a="1"/>
  <c r="A19" i="1" s="1"/>
  <c r="A20" i="1" a="1"/>
  <c r="A20" i="1" s="1"/>
  <c r="A21" i="1" a="1"/>
  <c r="A21" i="1" s="1"/>
  <c r="A22" i="1" a="1"/>
  <c r="A22" i="1" s="1"/>
  <c r="A23" i="1" a="1"/>
  <c r="A23" i="1" s="1"/>
  <c r="A24" i="1" a="1"/>
  <c r="A24" i="1" s="1"/>
  <c r="A25" i="1" a="1"/>
  <c r="A25" i="1" s="1"/>
  <c r="A26" i="1" a="1"/>
  <c r="A26" i="1" s="1"/>
  <c r="A27" i="1" a="1"/>
  <c r="A27" i="1" s="1"/>
  <c r="A28" i="1" a="1"/>
  <c r="A28" i="1" s="1"/>
  <c r="A29" i="1" a="1"/>
  <c r="A29" i="1" s="1"/>
  <c r="A30" i="1" a="1"/>
  <c r="A30" i="1" s="1"/>
  <c r="A31" i="1" a="1"/>
  <c r="A31" i="1" s="1"/>
  <c r="A32" i="1" a="1"/>
  <c r="A32" i="1" s="1"/>
  <c r="A33" i="1" a="1"/>
  <c r="A33" i="1" s="1"/>
  <c r="A34" i="1" a="1"/>
  <c r="A34" i="1" s="1"/>
  <c r="A35" i="1" a="1"/>
  <c r="A35" i="1" s="1"/>
  <c r="A36" i="1" a="1"/>
  <c r="A36" i="1" s="1"/>
  <c r="A37" i="1" a="1"/>
  <c r="A37" i="1" s="1"/>
  <c r="A38" i="1" a="1"/>
  <c r="A38" i="1" s="1"/>
  <c r="A39" i="1" a="1"/>
  <c r="A39" i="1" s="1"/>
  <c r="A40" i="1" a="1"/>
  <c r="A40" i="1" s="1"/>
  <c r="A41" i="1" a="1"/>
  <c r="A41" i="1" s="1"/>
  <c r="A42" i="1" a="1"/>
  <c r="A42" i="1" s="1"/>
  <c r="A43" i="1" a="1"/>
  <c r="A43" i="1" s="1"/>
  <c r="A44" i="1" a="1"/>
  <c r="A44" i="1" s="1"/>
  <c r="A45" i="1" a="1"/>
  <c r="A45" i="1" s="1"/>
  <c r="A46" i="1" a="1"/>
  <c r="A46" i="1" s="1"/>
  <c r="A47" i="1" a="1"/>
  <c r="A47" i="1" s="1"/>
  <c r="A48" i="1" a="1"/>
  <c r="A48" i="1" s="1"/>
  <c r="A49" i="1" a="1"/>
  <c r="A49" i="1" s="1"/>
  <c r="A50" i="1" a="1"/>
  <c r="A50" i="1" s="1"/>
  <c r="A51" i="1" a="1"/>
  <c r="A51" i="1" s="1"/>
  <c r="A52" i="1" a="1"/>
  <c r="A52" i="1" s="1"/>
  <c r="A53" i="1" a="1"/>
  <c r="A53" i="1" s="1"/>
  <c r="A54" i="1" a="1"/>
  <c r="A54" i="1" s="1"/>
  <c r="A55" i="1" a="1"/>
  <c r="A55" i="1" s="1"/>
  <c r="A56" i="1" a="1"/>
  <c r="A56" i="1" s="1"/>
  <c r="A57" i="1" a="1"/>
  <c r="A57" i="1" s="1"/>
  <c r="A58" i="1" a="1"/>
  <c r="A58" i="1" s="1"/>
  <c r="A59" i="1" a="1"/>
  <c r="A59" i="1" s="1"/>
  <c r="A60" i="1" a="1"/>
  <c r="A60" i="1" s="1"/>
  <c r="A61" i="1" a="1"/>
  <c r="A61" i="1" s="1"/>
  <c r="A62" i="1" a="1"/>
  <c r="A62" i="1" s="1"/>
  <c r="A63" i="1" a="1"/>
  <c r="A63" i="1" s="1"/>
  <c r="A64" i="1" a="1"/>
  <c r="A64" i="1" s="1"/>
  <c r="A65" i="1" a="1"/>
  <c r="A65" i="1" s="1"/>
  <c r="A66" i="1" a="1"/>
  <c r="A66" i="1" s="1"/>
  <c r="A67" i="1" a="1"/>
  <c r="A67" i="1" s="1"/>
  <c r="A68" i="1" a="1"/>
  <c r="A68" i="1" s="1"/>
  <c r="A69" i="1" a="1"/>
  <c r="A69" i="1" s="1"/>
  <c r="A70" i="1" a="1"/>
  <c r="A70" i="1" s="1"/>
  <c r="A71" i="1" a="1"/>
  <c r="A71" i="1" s="1"/>
  <c r="A72" i="1" a="1"/>
  <c r="A72" i="1" s="1"/>
  <c r="A73" i="1" a="1"/>
  <c r="A73" i="1" s="1"/>
  <c r="A74" i="1" a="1"/>
  <c r="A74" i="1" s="1"/>
  <c r="A75" i="1" a="1"/>
  <c r="A75" i="1" s="1"/>
  <c r="A76" i="1" a="1"/>
  <c r="A76" i="1" s="1"/>
  <c r="A77" i="1" a="1"/>
  <c r="A77" i="1" s="1"/>
  <c r="A78" i="1" a="1"/>
  <c r="A78" i="1" s="1"/>
  <c r="A79" i="1" a="1"/>
  <c r="A79" i="1" s="1"/>
  <c r="A80" i="1" a="1"/>
  <c r="A80" i="1" s="1"/>
  <c r="A81" i="1" a="1"/>
  <c r="A81" i="1" s="1"/>
  <c r="A82" i="1" a="1"/>
  <c r="A82" i="1" s="1"/>
  <c r="A83" i="1" a="1"/>
  <c r="A83" i="1" s="1"/>
  <c r="A84" i="1" a="1"/>
  <c r="A84" i="1" s="1"/>
  <c r="A85" i="1" a="1"/>
  <c r="A85" i="1" s="1"/>
  <c r="A86" i="1" a="1"/>
  <c r="A86" i="1" s="1"/>
  <c r="A87" i="1" a="1"/>
  <c r="A87" i="1" s="1"/>
  <c r="A88" i="1" a="1"/>
  <c r="A88" i="1" s="1"/>
  <c r="A89" i="1" a="1"/>
  <c r="A89" i="1" s="1"/>
  <c r="A90" i="1" a="1"/>
  <c r="A90" i="1" s="1"/>
  <c r="A91" i="1" a="1"/>
  <c r="A91" i="1" s="1"/>
  <c r="A92" i="1" a="1"/>
  <c r="A92" i="1" s="1"/>
  <c r="A93" i="1" a="1"/>
  <c r="A93" i="1" s="1"/>
  <c r="A94" i="1" a="1"/>
  <c r="A94" i="1" s="1"/>
  <c r="A95" i="1" a="1"/>
  <c r="A95" i="1" s="1"/>
  <c r="A96" i="1" a="1"/>
  <c r="A96" i="1" s="1"/>
  <c r="A97" i="1" a="1"/>
  <c r="A97" i="1" s="1"/>
  <c r="A98" i="1" a="1"/>
  <c r="A98" i="1" s="1"/>
  <c r="A99" i="1" a="1"/>
  <c r="A99" i="1" s="1"/>
  <c r="A100" i="1" a="1"/>
  <c r="A100" i="1" s="1"/>
  <c r="A101" i="1" a="1"/>
  <c r="A101" i="1" s="1"/>
  <c r="A102" i="1" a="1"/>
  <c r="A102" i="1" s="1"/>
  <c r="A103" i="1" a="1"/>
  <c r="A103" i="1" s="1"/>
  <c r="A104" i="1" a="1"/>
  <c r="A104" i="1" s="1"/>
  <c r="A105" i="1" a="1"/>
  <c r="A105" i="1" s="1"/>
  <c r="A106" i="1" a="1"/>
  <c r="A106" i="1" s="1"/>
  <c r="A107" i="1" a="1"/>
  <c r="A107" i="1" s="1"/>
  <c r="A108" i="1" a="1"/>
  <c r="A108" i="1" s="1"/>
  <c r="A109" i="1" a="1"/>
  <c r="A109" i="1" s="1"/>
  <c r="A110" i="1" a="1"/>
  <c r="A110" i="1" s="1"/>
  <c r="A111" i="1" a="1"/>
  <c r="A111" i="1" s="1"/>
  <c r="A112" i="1" a="1"/>
  <c r="A112" i="1" s="1"/>
  <c r="A113" i="1" a="1"/>
  <c r="A113" i="1" s="1"/>
  <c r="A114" i="1" a="1"/>
  <c r="A114" i="1" s="1"/>
  <c r="A115" i="1" a="1"/>
  <c r="A115" i="1" s="1"/>
  <c r="A116" i="1" a="1"/>
  <c r="A116" i="1" s="1"/>
  <c r="A117" i="1" a="1"/>
  <c r="A117" i="1" s="1"/>
  <c r="A118" i="1" a="1"/>
  <c r="A118" i="1" s="1"/>
  <c r="A119" i="1" a="1"/>
  <c r="A119" i="1" s="1"/>
  <c r="A120" i="1" a="1"/>
  <c r="A120" i="1" s="1"/>
  <c r="A121" i="1" a="1"/>
  <c r="A121" i="1" s="1"/>
  <c r="A122" i="1" a="1"/>
  <c r="A122" i="1" s="1"/>
  <c r="A123" i="1" a="1"/>
  <c r="A123" i="1" s="1"/>
  <c r="A124" i="1" a="1"/>
  <c r="A124" i="1" s="1"/>
  <c r="A125" i="1" a="1"/>
  <c r="A125" i="1" s="1"/>
  <c r="A126" i="1" a="1"/>
  <c r="A126" i="1" s="1"/>
  <c r="A127" i="1" a="1"/>
  <c r="A127" i="1" s="1"/>
  <c r="A2" i="1" a="1"/>
  <c r="A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2" i="1" a="1"/>
  <c r="O2" i="1"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2" i="1"/>
</calcChain>
</file>

<file path=xl/sharedStrings.xml><?xml version="1.0" encoding="utf-8"?>
<sst xmlns="http://schemas.openxmlformats.org/spreadsheetml/2006/main" count="1198" uniqueCount="705">
  <si>
    <t>final_job_id</t>
  </si>
  <si>
    <t>platform</t>
  </si>
  <si>
    <t>company</t>
  </si>
  <si>
    <t>slug</t>
  </si>
  <si>
    <t>job_id</t>
  </si>
  <si>
    <t>title</t>
  </si>
  <si>
    <t>location</t>
  </si>
  <si>
    <t>is_remote</t>
  </si>
  <si>
    <t>is_hybrid</t>
  </si>
  <si>
    <t>url</t>
  </si>
  <si>
    <t>description</t>
  </si>
  <si>
    <t>New</t>
  </si>
  <si>
    <t>greenhouse|figma|5220003004</t>
  </si>
  <si>
    <t>greenhouse</t>
  </si>
  <si>
    <t>Figma</t>
  </si>
  <si>
    <t>figma</t>
  </si>
  <si>
    <t>5220003004</t>
  </si>
  <si>
    <t>Data Engineer</t>
  </si>
  <si>
    <t>San Francisco, CA • New York, NY • United States</t>
  </si>
  <si>
    <t>https://boards.greenhouse.io/figma/jobs/5220003004?gh_jid=5220003004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</si>
  <si>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Engineer to partner with our Data Science and Data Infrastructure teams to own and scale our data pipelines. You’ll also work closely with stakeholders across business teams including sales, marketing, and finance to ensure that the data they need arrives promptly and reliably. You’ll play an integral role in building the metrics and self-serve reporting capabilities to unlock Figma’s next phase of growth. This is a great role for an individual who is passionate about working with data and data systems, and who love s solving problems. You’ll have a good sense for when it makes sense to build fast, scrappy solution s to unblock a key stakeholder vs. when to push back or bring in an outside service. The ideal candidate will be a great communicator who can help coordinate across multiple internal and external teams and take s pride in building end-to-end projects. This is a full time role that can be held from one of our US hubs or remotely in the United States. What you'll do at Figma : Own, build, and maintai n scalable data pipelines that connect various cloud data sources. Develop a deep understanding of Figma’s core data model s and optimize data pipelines for scale. Partner with the Data Science and Data Infrastructure teams to build new foundational data sets that are trusted, well understood, and enable self-service . Work with a wide range of cross-functional stakeholders to derive requirements and architect shared datasets; ability to document, simplify and explain complex problems to different types of audiences. Establish best practices for the development of specialized data sets for analytics and modeling. We'd love to hear from you if you have: 4 + years in a relevant field. Fluency with both SQL and Python. Familiarity with Snowflake, dbt, Dagster, and ETL/reverse ETL tools. Excellent judgment and creative problem solving skills. A self-starting mindset along with strong communication and collaboration skills. While not required, it’s an added plus if you also have: Knowledge in data modeling methodologies to design and build robust data architectures for insightful analytics. Experience with business systems such as Salesforce , Customer IO, Stripe, NetSuite is a big plus.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</si>
  <si>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greenhouse|figma|5552580004</t>
  </si>
  <si>
    <t>5552580004</t>
  </si>
  <si>
    <t>Data Scientist</t>
  </si>
  <si>
    <t>https://boards.greenhouse.io/figma/jobs/5552580004?gh_jid=5552580004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</si>
  <si>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 are looking for an experienced Data Scientist to join our growing data team. At Figma, Data Scientists are deeply embedded within cross-functional teams across the company—from Product to Finance, Marketing, and Platform. We are hiring across a number of roles in these areas. This is ideal for someone excited to own high-impact data projects, partner strategically with stakeholders, and shape the future of our products and business. The ideal candidate will bring strong analytical and technical skills, business intuition, and a collaborative mindset to guide decision-making and unlock growth opportunities. You’ll work on problems ranging from understanding user behavior to optimizing revenue strategies, improving internal tooling, and influencing product direction through experimentation and data modeling. This is a full-time role that can be held from one of our US hubs or remotely in the United States. What you’ll do at Figma: Collaborate across teams to define and measure key metrics, design experiments, and uncover insights that inform strategic decisions Build models and analytical frameworks to support product, marketing, platform, or finance initiatives Develop tools, datasets, and systems that enable others to work with data more efficiently and rigorously Own complex data projects end-to-end—from problem scoping to solution delivery Champion data quality, accessibility, and the democratization of data across the organization Partner with Product, Engineering, Design, Research, Sales, Marketing, or Finance to drive impact We'd love to hear from you if you have: 4+ years of experience in Analytics, Data Science, or a related field Fluency in SQL and proficiency in a scripting language like Python or R Experience with distributed data systems (e.g., Redshift, Snowflake, Presto, Hive, Spark) Strong foundation in statistical methods, experimentation, and/or forecasting A track record of working cross-functionally and communicating effectively with both technical and non-technical partners Experience supporting one or more of the following: Product, Marketing, Finance, or internal Platform/Tooling teams While it’s not required, it’s an added plus if you also have: A self-starter attitude and the ability to thrive in ambiguous and fast-paced environments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</si>
  <si>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greenhouse|figma|6013304004</t>
  </si>
  <si>
    <t>6013304004</t>
  </si>
  <si>
    <t>Data Scientist, Finance</t>
  </si>
  <si>
    <t>https://boards.greenhouse.io/figma/jobs/6013304004?gh_jid=6013304004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</si>
  <si>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growing our Finance Data Science team at a pivotal moment in the company's evolution. As a public company, the accuracy, scalability, and sophistication of our financial data systems have never been more important. At the same time, Figma's business continues to evolve through new products, AI-powered offerings, acquisitions, and emerging revenue models. We're looking for a Finance Data Scientist to help build the data foundation that powers financial reporting, forecasting, strategic decision-making, and investor communications. In this role, you'll partner closely with Strategic Finance, Accounting, Investor Relations, Engineering, Product, and Data teams to ensure our financial metrics are accurate, actionable, and trusted across the business. This is a unique opportunity to work at the intersection of finance, analytics, data engineering, and business strategy—helping shape how Figma measures and communicates its performance as the company scales. The data and systems built by this team directly support executive decision-making, public company reporting, and Figma's long-term growth strategy. This is a full time role that can be held from one of our US hubs or remotely in the United States. What you'll do at Figma: Own and improve the data models that power Figma's financial reporting, including ARR, revenue, billings, collections, and other key business metrics Build scalable reporting systems, forecasts, and analytical frameworks that support Finance, Accounting, Investor Relations, and executive leadership Drive data accuracy and completeness across month-end, quarter-end, and year-end close processes alongside Strategic Finance and Accounting teams Collaborate with Engineering, Product, GTM Systems, and Financial Systems teams to ensure the completeness and accuracy of financial data Conduct deep-dive analyses that inform strategic decisions and uncover opportunities to improve business performance Define, measure, and operationalize key financial and operational metrics Design and implement durable data solutions that balance immediate stakeholder needs with long-term scalability Serve as a trusted thought partner to Finance leaders, helping guide reporting, forecasting, and decision-making across the business We'd love to hear from you if you have: 3+ years of experience in Data Science, Analytics, Finance, Financial Systems, Data Engineering, or a related field Advanced SQL skills and strong proficiency in Python or a similar programming language Experience supporting Finance, Accounting, Strategic Finance, FP&amp;A, Investor Relations, or other finance-focused stakeholders Demonstrated ability to translate complex data into clear, actionable business insights for non-technical stakeholders Experience working independently and driving projects from ambiguity to execution While it's not required, it's an added plus if you also have: Experience with SaaS, subscription-based, usage-based, or consumption-based business models Knowledge of accounting concepts and revenue recognition principles (ASC 606) Experience with modern analytics and data engineering tools such as DBT, Snowflake, Git, Spark, Presto, or similar technologies Experience supporting IPO readiness, public company reporting, SOX controls, audits, or other major corporate milestones Background in Strategic Finance, FP&amp;A, Accounting, Investment Banking, Consulting, or related fields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</si>
  <si>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greenhouse|figma|6013303004</t>
  </si>
  <si>
    <t>6013303004</t>
  </si>
  <si>
    <t>Data Scientist, Marketing</t>
  </si>
  <si>
    <t>https://boards.greenhouse.io/figma/jobs/6013303004?gh_jid=6013303004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</si>
  <si>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We're looking for a Marketing Data Scientist to join Figma's Data Science team and help drive how we measure, optimize, and scale our marketing investments across the customer journey. In this role, you'll work closely with Paid Marketing, Lifecycle Marketing, Demand Generation, and Growth teams to develop measurement frameworks, improve targeting and segmentation, evaluate marketing effectiveness, and uncover insights that drive business growth. This role sits at the intersection of analytics, experimentation, and strategy. You'll work with marketing leaders to answer some of Figma's most important growth questions, including how we acquire and engage customers efficiently, which marketing investments drive incremental business impact, and how we can improve the effectiveness of our marketing programs at scale. This is a unique opportunity to shape the future of marketing measurement at Figma. You'll help build best-in-class capabilities across attribution, incrementality, experimentation, forecasting, and marketing mix modeling, while partnering with stakeholders across Marketing, Finance, Product, and Research to influence high-impact decisions and accelerate growth. What you'll do at Figma: Develop and own end-to-end measurement frameworks and attribution models to evaluate the effectiveness of Figma's marketing investments across the full funnel, channels, and regions. Partner with stakeholders across Brand Marketing, Email, Lifecycle, Demand Gen and Research teams to define success metrics, uncover insights, and drive data-informed decision making. Develop and apply statistical and machine learning models to solve key marketing challenges, including audience targeting, creative effectiveness, customer engagement, and campaign performance measurement. Assess the incremental impact of marketing investments across channels to inform budget allocation and growth strategies. Build dashboards, reporting frameworks, and analytical tools that help stakeholders understand brand performance and business impact. Translate complex analyses into clear recommendations for marketing leaders and executive stakeholders. Drive foundational improvements in data quality, measurement infrastructure, and reporting capabilities across the marketing organization. Identify new opportunities to improve marketing effectiveness and influence strategic planning through data-driven insights. We'd love to hear from you if you have: 5+ years of experience in Data Science, Marketing Analytics, or a related analytical role, supporting Marketing teams and measuring large-scale investments. Strong foundation in statistics, experimentation, causal inference, and working with survey or qualitative research data. Advanced proficiency in SQL and experience using Python, R, or similar tools to conduct analysis and build scalable measurement solutions. Demonstrated ability to communicate complex analyses clearly to senior non-technical stakeholders, with a track record of influencing decisions in cross-functional environments. While it's not required, it's an added plus if you also have: Experience with marketing mix modeling (MMM), multi-touch attribution, or incrementality testing. Familiarity with data visualization tools such as Tableau, Looker, or similar.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$140,000 — $348,000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</si>
  <si>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greenhouse|figma|5551532004</t>
  </si>
  <si>
    <t>5551532004</t>
  </si>
  <si>
    <t>Software Engineer, Machine Learning</t>
  </si>
  <si>
    <t>https://boards.greenhouse.io/figma/jobs/5551532004?gh_jid=5551532004</t>
  </si>
  <si>
    <t>Figma is growing our team of passionate creatives and builders on a mission to make design accessible to all. Figma’s platform helps teams bring ideas to life—whether you're brainstorming, creating a prototype, translating designs into code, or iterating with AI. From idea to product, Figma empowers teams to streamline workflows, move faster, and work together in real time from anywhere in the world. If you're excited to shape the future of design and collaboration, join us! Figma is seeking a versatile and experienced Machine Learning / AI Engineer to join our growing AI team, working at the intersection of applied machine learning, infrastructure, and product innovation. Whether you’re building intelligent search systems, crafting scalable data pipelines, or enhancing AI-powered creativity tools, your work will drive user productivity, shape new product experiences, and advance the state of AI at Figma. You’ll collaborate closely with engineers, researchers, designers, and product managers across multiple teams to deliver high-quality ML-driven features and infrastructure. This is a high-impact, cross-functional role where you’ll shape both foundational systems and user-facing capabilities. This is a full time role that can be held from one of our US hubs or remotely in the United States. What you’ll do at Figma: Design, build, and productionize ML models for Search, Discovery, Ranking, Retrieval-Augmented Generation (RAG), and generative AI features. Build and maintain scalable data pipelines to collect high-quality training and evaluation datasets, including annotation systems and human-in-the-loop workflows. Collaborate with AI researchers to iterate on datasets, evaluation metrics, and model architectures to improve quality and relevance. Work with product engineers to define and deliver impactful AI features across Figma’s platform. Partner with infrastructure engineers to develop and optimize systems for training, inference, monitoring, and deployment. Explore new ideas at the edge of what’s technically possible and help shape the long-term AI vision at Figma. We’d love to hear from you If you have: 5+ years of industry experience in software engineering, with 3+ years focused on applied machine learning or AI. Strong experience with end-to-end ML model development, including training, evaluation, deployment, and monitoring. Proficiency in Python and familiarity with ML libraries like PyTorch, TensorFlow, Scikit-learn, Spark MLlib, or XGBoost. Experience designing and building scalable data and annotation pipelines, as well as evaluation systems for AI model quality. Experience mentoring or leading others and contributing to a culture of technical excellence and innovation. While not required, It’s an added plus if you also have: Familiarity with search relevance, ranking, NLP, or RAG systems. Experience with AI infrastructure and MLOps, including observability, CI/CD, and automation for ML workflows. Experience working on creative or design-focused ML applications. Knowledge of additional languages such as C++ or Go is a plus, but not required. A product mindset with the ability to tie technical work to user outcomes and business impact. Strong collaboration and communication skills, especially when working across functions (engineering, product, research). At Figma, one of our values is Grow as you go. We believe in hiring smart, curious people who are excited to learn and develop their skills. If you’re excited about this role but your past experience doesn’t align perfectly with the points outlined in the job description, we encourage you to apply anyways. You may be just the right candidate for this or other roles. Pay Transparency Disclosure If based in Figma’s San Francisco or New York hub offices, this role has the annual base salary range stated below. Job level and actual compensation will be decided based on factors including, but not limited to, individual qualifications objectively assessed during the interview process (including skills and prior relevant experience, potential impact, and scope of role), market demands, and specific work location. The listed range is a guideline, and the range for this role may be modified. For roles that are available to be filled remotely, the pay range is localized according to employee work location by a factor of between 80% and 100% of range. Please discuss your specific work location with your recruiter for more information. Figma offers equity to employees, as well a competitive package of additional benefits, including health, dental &amp; vision, retirement with company contribution, parental leave &amp; reproductive or family planning support, mental health &amp; wellness benefits, generous PTO, company recharge days, a learning &amp; development stipend, a work from home stipend, and cell phone reimbursement. Figma also offers sales incentive pay for most sales roles and an annual bonus plan for eligible non-sales roles. Figma’s compensation and benefits are subject to change and may be modified in the future. Annual Base Salary Range: $153,000 — $376,000 USD At Figma we celebrate and support our differences. We know employing a team rich in diverse thoughts, experiences, and opinions allows our employees, our product and our community to flourish. Figma is an equal opportunity workplace - we are dedicated to equal employment opportunities regardless of race, color, ancestry, religion, sex, national origin, sexual orientation, age, citizenship, marital status, disability, gender identity/expression, veteran status , or any other characteristic protected by law. We also consider qualified applicants regardless of criminal histories, consistent with legal requirements. We will work to ensure individuals with disabilities are provided reasonable accommodation to apply for a role, participate in the interview process, perform essential job functions, and receive other benefits and privileges of employment. If you require accommodation, please reach out to accommodations-ext@figma.com . These modifications enable an individual with a disability to have an equal opportunity not only to get a job, but successfully perform their job tasks to the same extent as people without disabilities. Examples of accommodations include but are not limited to: Holding interviews in an accessible location Enabling closed captioning on video conferencing Ensuring all written communication be compatible with screen readers Changing the mode or format of interviews To ensure the integrity of our hiring process and facilitate a more personal connection, we require all candidates keep their cameras on during video interviews. Additionally, if hired you will be required to attend in person onboarding. By applying for this job, the candidate acknowledges and agrees that any personal data contained in their application or supporting materials will be processed in accordance with Figma's Candidate Privacy Notice .</t>
  </si>
  <si>
    <t>ashby|notion|a1216dba-e175-4a3d-b712-401c9fbdcd92</t>
  </si>
  <si>
    <t>ashby</t>
  </si>
  <si>
    <t>Notion</t>
  </si>
  <si>
    <t>notion</t>
  </si>
  <si>
    <t>a1216dba-e175-4a3d-b712-401c9fbdcd92</t>
  </si>
  <si>
    <t xml:space="preserve">Data Engineer, People Analytics </t>
  </si>
  <si>
    <t>San Francisco, California</t>
  </si>
  <si>
    <t>https://jobs.ashbyhq.com/notion/a1216dba-e175-4a3d-b712-401c9fbdcd92</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</si>
  <si>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As Notion scales, there is a unique opportunity to build the data foundations for People Analytics that enable better decisions around hiring, performance, compensation, and org design - while maintaining strong privacy guarantees for sensitive employee data.
In this role, you will design, build, and operate scalable data systems and pipelines that power People data. Your work will ensure that employee data is reliable, secure, and production-ready, enabling both analytics and AI-driven people workflows across the company.
This role can be based in either San Francisco or New York City. We work from our offices on Mondays, Tuesdays and Thursdays (our Anchor Days) because we do our best thinking and building together in person. We’re looking for someone who’s excited to work alongside the team during those days.
WHAT YOU'LL ACHIEVE
 - Partner closely with the Chief People Officer and People leadership team to translate strategic questions into clear metrics and data products that inform workforce planning, organization design, performance reviews, compensation discussions, and executive reporting
 - Define and build ETL/ELT pipelines and infrastructure to ingest and standardize data from HRIS and adjacent systems such as Workday, ATS, payroll, benefits, performance platforms, creating a reliable source of truth for headcount, org structure, hiring, attrition, and talent health
 - Design privacy-first data architecture, including access controls, PII handling, and governance standards
 - Implement data quality, testing, and observability systems to ensure sensitive employee data is accurate and trustworthy
 - Design privacy-aware data models, transformations, semantic layers, and quality checks so sensitive employee data is accurate, timely, well-documented, and governed appropriately with role-based access controls for decision-making and makes AI-powered people tools and automations reliable enough to ship to production
 - Partner with People Analytics to translate ambiguous requirements into scalable datasets, dashboards, and self-serve data products that give People leaders, People Partners, and managers visibility into workforce trends while reducing manual overhead.
SKILLS YOU'LL NEED TO BRING
 - 6+ years of experience in analytics engineering, data engineering, people analytics, or a closely related role, with a track record of building trusted datasets and systems for business decision-making
 - Hands-on experience working with HRIS and adjacent People systems data (for example Workday, ATS (Ashby), payroll, benefits, performance, or engagement platforms) and know how to reconcile definitions across messy, evolving source systems
 - Proficiency in SQL and data modeling, and can build production-grade transformations, define durable metric logic, and write performant queries against large analytical datasets
 - Proficiency in Python (or similar OOP languages) for building data pipelines, automation, and infrastructure
 - Experience designing systems with data quality, testing, monitoring, and SLAs in mind
 - Experience with modern data tooling and cloud warehouses such as Snowflake, dbt, Airflow, Fivetran, or similar technologies, along with strong instincts around testing, monitoring, and data quality
 - Excellent judgment with sensitive and confidential data, and can implement infrastructure and tooling for data privacy, access controls, governance, and thoughtful interpretation of people metrics
 - Effectiveness in partnering directly with the CPO, People Partners, Finance, and business leaders to turn ambiguous questions into scoped solutions and clearly communicated insights
 - Ability to leverage AI and agent-based tools to accelerate development, while defining guardrails for safe, production-grade data workflows
NICE TO HAVES
 - You have worked at a fast-growing start-up, a SaaS company or are eager to contribute in such an environment (being a current Notion user would be great!)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$213,000 to $250,000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https://dev.notion.so/a3ce416456924276a59de91bca740028?pvs=21#LI-Onsite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</si>
  <si>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ashby|notion|e4229ca4-8210-4282-98ed-2071478f72aa</t>
  </si>
  <si>
    <t>e4229ca4-8210-4282-98ed-2071478f72aa</t>
  </si>
  <si>
    <t>People Analytics &amp; Operations (Rotational Program)</t>
  </si>
  <si>
    <t>https://jobs.ashbyhq.com/notion/e4229ca4-8210-4282-98ed-2071478f72aa</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</si>
  <si>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You're joining Notion's People Analytics &amp; Operations team as part of an 18-month rotational program -- the group that builds the insights engine powering every people decision Notion makes.
We look for slope over intercept. We care less about where you trained and more about what you've built. If you've ever rebuilt a broken process because it was bothering you, used AI to do something you couldn't have done alone, or found yourself reading about labor economics for fun -- you're the person we're looking for.
Over 18 months, you'll rotate across people operations, people analytics, and compensation/benefits. Every rotation is real work with real ownership. On the analytics side, you'll build dashboards that land in exec review, write SQL that powers headcount models, and prototype AI-assisted workflows that help our team move faster. On the operations side, you'll run the HR engine -- managing employee lifecycle transactions in Workday, owning onboarding and offboarding coordination end-to-end, triaging and resolving employee requests, and keeping our people data clean and audit-ready. You'll be paired with a senior operator who will push your craft and raise your bar.
We want someone who's hungry, high-agency, and passionate about leveraging AI to build the future of work. Not "I've used ChatGPT" native -- "I use AI every day to move faster and build smarter" native. And you don't just use Notion; you build in it.
At the end of 18 months, you'll declare a focus area and move into a permanent team within the People org -- whether that's People Analytics, People Operations, Total Rewards, or staying broad as a high-impact People generalist. We're intentionally building the next generation of the People team from within.
WHAT YOU'LL ACHIEVE:
 - Build the insights engine: Write SQL that powers our headcount, attrition, and hiring funnel dashboards. Transform raw people data from Workday and Snowflake into crisp analyses that drive real decisions. For example, you might build a model that identifies where we're losing great candidates and propose a process fix.
 - Run the HR operations engine: You'll learn how the ops side of the house actually works by doing it. That means executing employee lifecycle transactions in Workday (new hires, transfers, terminations), coordinating onboarding and offboarding end-to-end, triaging and resolving employee requests, supporting compliance and audit readiness, and keeping headcount and requisition data clean. For example, you might own the full ops flow for an onboarding cohort and surface process gaps that shorten time-to-productivity.
 - Tell the story in data: Take a messy people question and produce a clean narrative: numbers to insights to recommended decision. You'll own the analytical arc end-to-end -- from pulling the data to presenting it to senior leadership.
 - Prototype AI-assisted workflows: Identify manual, repetitive work across HR operations and replace it with something smarter -- automated onboarding task routing, AI-assisted ticket triage, offboarding checklists that run themselves, compliance reminders that don't require a human to send. You'll have real latitude to experiment and ship things that outlive your rotation.
 - Build and own our Notion workspace: You'll be the People team's Notion expert. Pages, databases, dashboards, views -- you'll build operating systems the whole team relies on. From day one, you'll be the person others come to when they want to do something in Notion they didn't know was possible.
SKILLS YOU'LL NEED TO BRING:
 - SQL is your native language: You don't reach for SQL when you have to; you reach for it when you want to think. You can write queries that join, filter, aggregate, and transform data. You debug the wrong answer and figure out exactly why it's wrong.
 - Quantitatively sharp: You think in numbers. You've studied business, economics, statistics, or mathematics and it showed up in your work. Analytical storytelling -- connecting numbers to insights to decisions -- is a skill you've already started building.
 - High agency, high urgency: You don't wait for perfect instructions. When something's broken, you fix it. When there's ambiguity, you make a call. We look for slope over intercept -- we care more about what you've built and how fast you learn than where you trained.
 - AI-fluent: You use AI tools every day as a real multiplier, not a novelty. You know when Claude drafts it faster, when a formula is cleaner, and when you need to write the code yourself. Come ready to show us how you've used AI to do something you couldn't have done alone.
 - Notion power user: You live in Notion. You know the difference between a filtered view and a linked database. You get a little excited when you find a cleaner way to structure something. From day one, you'll be one of the most fluent Notion users on the People team.
NICE TO HAVES:
 - Some exposure to Python -- enough to know what a loop is and when to reach for one
 - Familiarity with Workday, Snowflake, or similar HRIS or data warehouse tools
 - Prior experience in a business operations, finance, or sales operations context (internships count)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$40.87 - $59.62 hourly.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 https://dev.notion.so/a3ce416456924276a59de91bca740028?pvs=21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</si>
  <si>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ashby|notion|6597b600-7781-46e6-b70a-a9af4fb2b61b</t>
  </si>
  <si>
    <t>6597b600-7781-46e6-b70a-a9af4fb2b61b</t>
  </si>
  <si>
    <t>People Analytics Lead - Recruiting</t>
  </si>
  <si>
    <t>https://jobs.ashbyhq.com/notion/6597b600-7781-46e6-b70a-a9af4fb2b61b</t>
  </si>
  <si>
    <t>WHO WE ARE
Notion is the collaborative AI workspace where teams and agents think together https://www.youtube.com/watch?v=vkpYpWfEK5s. We're building one place where your knowledge, projects, meetings, and AI tools live side by side, so work is faster, clearer, and less fragmented. Millions of individuals, small teams, and large companies run their work on Notion.
Notinos (our employees) are customer zero in bringing this future of work to life. We care about craft, building things that last, and the belief that great work is still fundamentally human. Our goal isn’t to ship the next feature. Each and every team of Notinos is working to set the standard for how humans work together in the AI era. From building a business’s system of record to making and managing AI agents to automating away the busy work, we care deeply about giving our customers more time for their life’s work.
ABOUT THE ROLE:
You'll be Recruiting's dedicated people analytics partner — owning the data, shaping the strategy, and in the room where decisions get made. The core of the role is building trusted recruiting analytics infrastructure (funnel + stage conversion, pipeline aging, time-to-fill, offer acceptance, sourcing channel quality, and recruiter capacity) and making it self-serve for recruiters and leaders. You’ll own the stack end-to-end — from raw data in Ashby and Snowflake to clear insights that hold up in a pipeline review.
You're the person who turns workforce signals into recruiting strategy — bringing a point of view.
This role may be based in either our San Francisco or New York City offices. We work from our offices on Mondays, Tuesdays and Thursdays (our Anchor Days) because we do our best thinking and building together in person. We’re looking for someone who’s excited to work alongside the team during those days.
WHAT YOU'LL ACHIEVE:
 - Own recruiting analytics end-to-end: Build and maintain the dashboards and reporting infrastructure Recruiting leadership relies on (funnel health, conversion rates by stage, time-to-fill, offer acceptance, pipeline aging, interview/interviewer effectiveness, and recruiter capacity) — real-time, self-serve, and trusted.
 - Build headcount + velocity models: Translate hiring targets into pipeline math (volume needed by stage, ETA to close, roles trending behind plan) and tie it to recruiter capacity and prioritization — so leaders see issues early and know what to do about them.
 - Make talent data decision-grade: Define core recruiting metrics and their definitions, document them, and build toward a single source of truth the team can align on.
 - Bring signal to pipeline leadership reviews: Show up to pipeline reviews and QBRs with crisp analysis and a recommendation (where the bottleneck is, what changed, what to test next), not just a slide deck.
 - Improve the recruiting system: Use data to spot where process, calibration, or prioritization is creating drag — and partner with Recruiting and Finance to fix it.
 - Use AI as leverage in your first 90 days: Use AI to accelerate query iteration, metric QA, and insight narratives (e.g., draft + test SQL approaches, anomaly checks, and concise readouts) while keeping the underlying logic and definitions clean and auditable.
SKILLS YOU'LL NEED TO BRING:
 - Proven ability to build analytics that gets used: You’ve shipped dashboards/models that teams rely on to run real weekly decisions — not one-off reports.
 - Strong SQL + data modeling judgment: You can write complex queries, debug data issues, and build maintainable models/pipelines that other people can trust.
 - Quantitative modeling for recruiting problems: You can translate hiring stages into clear funnel math and capacity views, and you know how to stress-test assumptions.
 - Strategic partner instincts: You anticipate the questions leaders will ask, show up with the analysis, and can say what the data implies for decisions.
 - AI-fluent, with good taste: You use AI as a daily multiplier (analysis, QA, drafting narratives) and know when to rely on it vs. when to go to first principles.
 - Build in Notion: You’re comfortable structuring knowledge and workflows in Notion (databases, views, documentation) so your work is easy for others to find, trust, and build on.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or New York City, the estimated base salary range for this role is $210,000 - $260,000 per year.
By clicking “Submit Application”, I understand and agree that Notion and its affiliates and subsidiaries will collect and process my information in accordance with Notion’s Global Recruiting Privacy Policy https://notion.notion.site/Notion-Global-Recruiting-Privacy-Policy-fc3eb4e829354a26a2bb6fd5e289b550?pvs=74 and NYLL 144 https://notion.notion.site/Ashby-AI-Bias-Audit-2b0efdeead05803bbbfae159ec86c528.
#LI-Onsite
A NOTE ON AI
You don’t need deep AI expertise for every role, but we do expect every Notino to be intellectually curious, drawn to tinkering and discovery, and excited to use AI as a real collaborator in their work. For some roles, AI fluency is a core requirement — when that’s the case, we'll say so explicitly in the qualifications. People who thrive here don’t treat AI as a novelty. They use it to think better, and make their work easier for others to build on.
EQUAL OPPORTUNITY &amp; ACCOMMODATIONS
We hire talented people from a wide range of backgrounds. If you’re excited about this role but don’t meet every bullet, we still encourage you to apply. Notion is an equal opportunity employer and does not discriminate on the basis of any legally protected characteristic. Consistent with applicable law, we will consider for employment qualified applicants with arrest and conviction records. Notion provides reasonable accommodations during the application process; if you need one, please let your recruiter know.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due to a disability, please let your recruiter know.</t>
  </si>
  <si>
    <t>greenhouse|databricks|8520024002</t>
  </si>
  <si>
    <t>Databricks</t>
  </si>
  <si>
    <t>databricks</t>
  </si>
  <si>
    <t>8520024002</t>
  </si>
  <si>
    <t>Solutions Architect - Financial Services (Insurance)</t>
  </si>
  <si>
    <t>Georgia; Illinois; Massachusetts; New York; North Carolina</t>
  </si>
  <si>
    <t>https://databricks.com/company/careers/open-positions/job?gh_jid=8520024002</t>
  </si>
  <si>
    <t>FEQ327R7 While candidates in the listed location(s) are encouraged to apply for this role, exceptionally well-qualified candidates in other East Coast locations will also be considered. Mission Solutions Architects at Databricks lead the growth of the Databricks Data Intelligence Platform. As a team, we have expertise in cloud platforms, data engineering, data analytics, and data science, machine learning, and AI. As a member of our team, you will exercise and grow your expertise in those areas, using open source projects such as Apache Spark™, Delta Lake, and MLflow. This is a customer-facing role, where you will work with customers, your teammates, the product team, our post-sales team,s and partners, to identify use cases for Databricks, develop architectures and solutions using our platform, and guide customers through the implementation, to accomplish meaningful outcomes for their businesses. In this process, you will build relationships with our customers, identify and cultivate champions, and establish yourself as a trusted advisor. You will report to a Field Engineering Manager within the Financial Services team at Databricks. The impact you will have : Partner with the sales team to help customers understand how Databricks can help solve their business problems Provide technical leadership for customers to evaluate and adopt Databricks Consult on big data architecture, execute proof of concepts for strategic customer projects, and validate integrations with cloud services and other 3rd party applications Build and present reference architectures, how-tos, and demonstrate applications for customers Become an expert in, and promote open source projects (Apache Spark™, Delta Lake, MLflow, and Unity Catalog) across developer communities through meetups, conferences, and webinars Travel to meet with customers in your territory What we look for : 7+ years in a customer-facing pre-sales role, or consulting role - preferably working with big-data technologies to solve data engineering and big-data analytical challenges Experience designing and architecting distributed data systems Comfortable programming in, and debugging, at least one of: Python, SQL, Scala, Java, or R Experience working with global system integrators, consulting organizations, or financial services technology, or financial services data providers is a positive differentiator Experience building solutions with public cloud providers such as AWS, Azure, or GCP Experience with Data Engineering technologies ( Ex: Spark, Hadoop, Kafka ) Experience with Data Warehousing technologies ( Ex: SQL, OLTP/OLAP/DSS ) Undergraduate degree or higher in an engineering or mathematics discipline such as Computer Science, Applied Mathematics, Electrical Engineering, etc.)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$180,000 — $247,500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</si>
  <si>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greenhouse|databricks|8570023002</t>
  </si>
  <si>
    <t>8570023002</t>
  </si>
  <si>
    <t>Specialist Solutions Architect - Data Engineering &amp; Warehousing</t>
  </si>
  <si>
    <t>United States</t>
  </si>
  <si>
    <t>https://databricks.com/company/careers/open-positions/job?gh_jid=8570023002</t>
  </si>
  <si>
    <t>FEQ327R455 - DNB FEQ327R257 - Emerging FEQ327R204 - FinS As a Specialist Solutions Architect (SSA) - Data Engineering and Warehousing , you will guide customers through cloud data engineering transformations across a wide variety of use cases. In this customer-facing role, you will collaborate with and support Solutions Architects. This requires hands-on production experience with large-scale data engineering technologies and lakehouse architecture. The SSA teams help customers navigate evaluations and successfully plan production for their business intelligence workloads while aligning their technical roadmap with the Databricks Data Intelligence Platform. As a deep go-to expert reporting to the Specialist Field Engineering Manager, you will continue to strengthen your technical skills through mentorship, continuous learning, and internal training programs. In this role, you will establish yourself as a leader in the data engineering and warehousing specialty. The impact you will have: Provide technical leadership to guide strategic customers to successful implementations on big data projects and large-scale data warehousing workloads. Prove the value of the Databricks Intelligence Platform for customer workloads by architecting production workloads, including end-to-end pipeline load performance testing and optimization. Architect production-level data pipelines, including end-to-end pipeline load performance testing and optimization. Become a technical expert in an area such as data lake technology, big data streaming, or big data ingestion and workflows. Assist Solution Architects with more advanced aspects of the technical sale, including custom proof of concept content, estimating workload sizing, and custom architectures. Provide tutorials and training to improve community adoption (including hackathons and conference presentations). Contribute to the Databricks Community. What we look for: 5+ years of experience in a technical role with deep expertise across the following areas: Software / Data Engineering: Hands-on experience with data ingestion, streaming technologies (e.g., Spark Streaming, Kafka), performance tuning, troubleshooting, and debugging Spark or other big data solutions. Data Applications Engineering: Experience building data-driven use cases, such as risk modeling, fraud detection, and customer lifetime value (LTV). Data Warehousing: Advanced query tuning, troubleshooting, data governance, and debugging MPP data warehouses or big data solutions. Experience migrating workloads from EDW systems (e.g., traditional SQL, Redshift, Snowflake, Synapse, EMR) across OLAP &amp; OLTP workloads. Data Observability: Experience with SIEM tools (e.g., Splunk, Elastic, Sentinel), telemetry/high-velocity log ingestion, and anomaly detection. Proven track record of maintaining, scaling, and extending production data systems to evolve with complex business needs. Deep expertise across multiple core data engineering domains, including: Designing and scaling cost-efficient, high-performance data workloads (ETL/ELT, analytics) in cloud environments. Building and migrating large-scale data pipelines, including batch, CDC (Change Data Capture), and streaming ingestion. Migrating on-premises or Hadoop-based data systems to modern cloud platforms (AWS, Azure, GCP). Developing and managing modern lakehouse and warehouse systems, including Delta Lake technologies, data modeling, governance, and BI integration. Production programming experience in SQL and at least one of the following: Python, Scala, or Java. Strong familiarity with cloud infrastructure providers (AWS, Azure, or GCP) is highly desirable. Degree or Equivalent: Bachelor's degree in Computer Science, Information Systems, Engineering, or equivalent professional experience. [Preferred] Prior customer-facing experience in a pre-sales or post-sales technical role. Ability to meet expectations for technical training and role-specific milestones within 6 months of hire. Willingness to travel up to 30% as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$180,000 — $247,500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</si>
  <si>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greenhouse|databricks|8568122002</t>
  </si>
  <si>
    <t>8568122002</t>
  </si>
  <si>
    <t>Sr. Specialist Solutions Architect - Data Engineering &amp; Warehousing</t>
  </si>
  <si>
    <t>https://databricks.com/company/careers/open-positions/job?gh_jid=8568122002</t>
  </si>
  <si>
    <t>FEQ327R204 As a Sr. Specialist Solutions Architect (SSA) - Data Engineering and Warehousing , you will guide customers through cloud data engineering transformations across a wide variety of use cases. In this customer-facing role, you will collaborate with and support Solutions Architects. This requires hands-on production experience with large-scale data engineering technologies and lakehouse architecture. The SSA teams help customers navigate evaluations and successfully plan production for their business intelligence workloads while aligning their technical roadmap with the Databricks Data Intelligence Platform. As a deep go-to expert reporting to the Specialist Field Engineering Manager, you will continue to strengthen your technical skills through mentorship, continuous learning, and internal training programs. In this role, you will establish yourself as a leader in the data engineering and warehousing specialty. The impact you will have: Provide technical leadership to guide strategic customers to successful implementations on big data projects and large-scale data warehousing workloads. Prove the value of the Databricks Intelligence Platform for customer workloads by architecting production workloads, including end-to-end pipeline load performance testing and optimization. Architect production-level data pipelines, including end-to-end pipeline load performance testing and optimization. Become a technical expert in an area such as data lake technology, big data streaming, or big data ingestion and workflows. Assist Solution Architects with more advanced aspects of the technical sale, including custom proof of concept content, estimating workload sizing, and custom architectures. Provide tutorials and training to improve community adoption (including hackathons and conference presentations). Contribute to the Databricks Community. What we look for: 8+ years of experience in a technical role with deep expertise across the following areas: Software / Data Engineering: Hands-on experience with data ingestion, streaming technologies (e.g., Spark Streaming, Kafka), performance tuning, troubleshooting, and debugging Spark or other big data solutions. Data Applications Engineering: Experience building data-driven use cases, such as risk modeling, fraud detection, and customer lifetime value (LTV). Data Warehousing: Advanced query tuning, troubleshooting, data governance, and debugging MPP data warehouses or big data solutions. Experience migrating workloads from EDW systems (e.g., traditional SQL, Redshift, Snowflake, Synapse, EMR) across OLAP &amp; OLTP workloads. Data Observability: Experience with SIEM tools (e.g., Splunk, Elastic, Sentinel), telemetry/high-velocity log ingestion, and anomaly detection. Proven track record of maintaining, scaling, and extending production data systems to evolve with complex business needs. Deep expertise across multiple core data engineering domains, including: Designing and scaling cost-efficient, high-performance data workloads (ETL/ELT, analytics) in cloud environments. Building and migrating large-scale data pipelines, including batch, CDC (Change Data Capture), and streaming ingestion. Migrating on-premises or Hadoop-based data systems to modern cloud platforms (AWS, Azure, GCP). Developing and managing modern lakehouse and warehouse systems, including Delta Lake technologies, data modeling, governance, and BI integration. Production programming experience in SQL and at least one of the following: Python, Scala, or Java. Strong familiarity with cloud infrastructure providers (AWS, Azure, or GCP) is highly desirable. Degree or Equivalent: Bachelor's degree in Computer Science, Information Systems, Engineering, or equivalent professional experience. 3+ years of customer-facing experience in a pre-sales or post-sales technical role. Ability to meet expectations for technical training and role-specific milestones within 6 months of hire. Willingness to travel up to 30% as needed.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 Local Pay Range $219,100 — $301,300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 LinkedIn and Facebook . Benefits At Databricks, we strive to provide comprehensive benefits and perks that meet the needs of all of our employees. For specific details on the benefits offered in your region click here .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</si>
  <si>
    <t>greenhouse|stripe|7540441</t>
  </si>
  <si>
    <t>Stripe</t>
  </si>
  <si>
    <t>stripe</t>
  </si>
  <si>
    <t>7540441</t>
  </si>
  <si>
    <t>Credit Risk Analyst Commercial Underwriter, West Coast</t>
  </si>
  <si>
    <t>Chicago, US-Remote, Canada-Remote</t>
  </si>
  <si>
    <t>https://stripe.com/jobs/search?gh_jid=7540441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</si>
  <si>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Risk Analyst Commercial Underwriter on the North America Strategy Risk team, you'll underwrite and manage a portfolio of our largest and fastest-growing businesses to facilitate growth objectives while minimizing credit risk. This is a high-impact role that involves strong cross-functional partnership with Sales, Legal, Treasury, and Finance. This role is assigned to West Coast hours, with a high preference for candidates in the Pacific time zone. Responsibilities Work directly with our top merchants, from successful venture-backed startups to well-established institutions, to evaluate their business models and financial statements Provide tailored credit risk recommendations that mitigate Stripe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5+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problem-solving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</si>
  <si>
    <t>greenhouse|stripe|7612192</t>
  </si>
  <si>
    <t>7612192</t>
  </si>
  <si>
    <t>Credit Risk Analyst, North American Underwriter</t>
  </si>
  <si>
    <t xml:space="preserve">Toronto, Remote-Canada </t>
  </si>
  <si>
    <t>https://stripe.com/jobs/search?gh_jid=7612192</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</si>
  <si>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Credit team protects Stripe by managing the end-to-end risk of our largest and most complex users. We leverage deep underwriting expertise and data-driven stress heuristics to make informed decisions at every stage of the user lifecycle—from onboarding to loss recovery. Our goal is to enable Stripe’s growth by making confident, calibrated decisions on our highest-exposure users. What you’ll do Stripe handles billions of dollars every year for businesses around the world, and the Risk team plays a critical role in the company’s financial and partnership success. As a Credit Analyst Underwriter on the North America Strategy Risk team, you will underwrite and manage a portfolio of our largest and fastest growing businesses in order to facilitate Stripe’s growth objectives while minimizing Stripe’s credit risk. This is a high impact role that involves strong cross-functional partnership with Sales, Legal, Treasury, and Finance. Responsibilities Work directly with our top merchants, from successful venture-backed startups to well-established institutions, to evaluate their business models and financial statements. Provide tailored credit risk recommendations that mitigate Stripe's exposure, while facilitating partner company growth. Help manage the portfolio by developing a deep understanding of risk across industries, geographies, and operating models. Deliver insights to support senior management decisions, ranging from onboarding strategies to merchant pricing analysis. Support the refinement of tools and processes to help the team deliver on key performance indicators, such as credit loss targets or portfolio coverage metrics. Work with internal and external partners to support merchants around the world. Who you are We're looking for someone who meets the minimum requirements to be considered for the role. If you meet these requirements, you are encouraged to apply. The preferred qualifications are a bonus, not a requirement. Minimum requirements 3+ years of relevant experience with knowledge of commercial credit underwriting, financial risk modeling, and cash flow forecasting Bachelor's degree in Finance, Economics, Statistics, or other related fields Strong knowledge of accounting principles and comfort evaluating financial statements and business models across a range of industries Ability to transform business and financial data into cohesive narratives that outline potential credit risks and present dynamic mitigation strategies Strong written, verbal, and analytical skills Attention to detail while managing priorities in a fast-paced environment Ability to comfortably interact with the CFOs and CEOs of our top merchants Deep empathy for entrepreneurs running a business and motivation to solve problems to empower them Preferred qualifications Strong technical expertise, including demonstrated experience with SQL Strong data visualization skills and a passion for data and analysis Experience working in tech or other fast-paced, high-growth environments</t>
  </si>
  <si>
    <t>greenhouse|stripe|8044686</t>
  </si>
  <si>
    <t>8044686</t>
  </si>
  <si>
    <t>Credit Risk Strategy and Analytics</t>
  </si>
  <si>
    <t xml:space="preserve">Remote </t>
  </si>
  <si>
    <t>https://stripe.com/jobs/search?gh_jid=8044686</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</si>
  <si>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Capital team is responsible for managing the end-to-end risk strategy for Stripe's lending product. The team is based in the US and Canada, and is composed of curious, driven, and analytical individuals who are passionate about using their skills to shape the future of Stripe. We partner closely with Stripe's engineering, data science, product, and servicing teams to leverage existing platforms, integrate industry best practices, and develop novel solutions to evaluate and manage credit risk. If you are interested in joining a fast-growing organization and applying your experience to shape the future of Stripe, we encourage you to apply. What you’ll do As a key member of the Capital team, you will have the opportunity to shape the future of Stripe's credit policy by driving meaningful changes to the risk and underwriting framework. You will leverage Stripe's vast data assets to formulate your recommendations and work closely with our partners and, where applicable, leverage third-party data. We are a small and lean team, which means you will have the autonomy and the responsibility to manage end-to-end risk initiatives. Responsibilities Architect and implement credit policies based on Stripe's proprietary data and selected industry data to target, price, and size capital products. Utilize your analytical and technical skills to provide credit risk recommendations, deliver insights, and support strategic business decisions. Collaborate with cross-functional teams, such as Product, Data Science, Engineering, and Capital Markets to shape new product development across different geographies and industries. Incorporate third-party data, including bureau, bank account, financial statements, and less traditional data, into our credit assessment. Analyze account activity and monitor portfolio trends to identify opportunities for Stripe to reduce potential credit losses. Help scale risk processes by working with partners to design and optimize outsourced workflows. Who you are We’re looking for someone who meets the minimum requirements to be considered for the role. If you meet these requirements, you are encouraged to apply. The preferred qualifications are a bonus, not a requirement. Minimum requirements 5+ years of experience in credit analysis and underwriting. Bachelor's degree in finance, economics, statistics, or a related field. Experience in risk management, financial lending, or core credit risk management function. Strong analytical skills and a rigorous, data-driven approach to problem-solving. Experience working with both internal and external stakeholders and the ability to closely. manage expectations and deliverables in a timely manner. Ability to thrive in an unstructured and fast-moving organization. Strong technical expertise, including SQL, excel, google sheets. Self-starter who can work independently. Preferred qualifications Experience with quantitative tools such as Python, R, or Stata. Master's degree in finance, economics, statistics, or a related field. Superior communication and relationship management skills. Experience with credit scoring models. Experience working with machine learning teams. Ability to communicate results clearly with a focus on driving impact.</t>
  </si>
  <si>
    <t>greenhouse|stripe|8052468</t>
  </si>
  <si>
    <t>8052468</t>
  </si>
  <si>
    <t xml:space="preserve">United States </t>
  </si>
  <si>
    <t>https://stripe.com/jobs/search?gh_jid=8052468</t>
  </si>
  <si>
    <t>greenhouse|stripe|7376419</t>
  </si>
  <si>
    <t>7376419</t>
  </si>
  <si>
    <t>Data Analyst - Economic Insights &amp; Communications</t>
  </si>
  <si>
    <t>US</t>
  </si>
  <si>
    <t>https://stripe.com/jobs/search?gh_jid=7376419</t>
  </si>
  <si>
    <t>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We’re looking for an experienced data analyst to deepen understanding around the economic impact Stripe is having globally. You will be part of a community of analysts and data scientists on the Go-to-Market Analytics team, and you will partner with Stripe’s Communications teams to build and protect Stripe’s brand and influence across the world. What you’ll do This person will bridge Economic Insights and how we Communicate them with the broader public. Stripe has a unique view of the world, with real-time insight into changing trends, industries, and cross-border commerce. The Data Analyst, Economic Insights &amp; Communication role will focus on constructing and analyzing data, built upon robust data pipelines and a strong data architecture, to demonstrate how Stripe enables broad and often surprising economic growth. This role will help tease out novel economic insights from Stripe data to tell stories about how pockets of the economy are evolving, and how Stripe is advancing economic opportunity and increasing the GDP of the internet. Responsibilities Partner with the Communications teams to imagine, scope, and lead research projects that bring to life different facets of Stripe’s economic impact Publish findings both internally and externally Generate hypotheses, rapidly test them against Stripe data, and proactively share the most interesting nuggets Design, implement and maintain data pipelines and dashboards to generate insights from Stripe internal and external public data sources Define and monitor key economic impact metrics Go deep on understanding business drivers, user segments, cohorts and macroeconomic trends Partner closely with Communications teams to identify and analyze key trends and produce social posts, blogs, reports, briefings and campaign content leveraging Stripe data Who you are We're looking for someone who meets the minimum requirements to be considered for the role. If you meet these requirements, you are encouraged to apply. The preferred qualifications are a bonus, not a requirement. Minimum requirements 3+ years of experience in analytical roles working with large datasets Bachelor’s degree in Statistics, Economics, Mathematics, Engineering, Sciences or a related quantitative field Proficiency in SQL and Python and experience building and maintaining data pipelines using a distributed data framework Experience building self-serve dashboards or other scalable analytical tools for partner teams Experience developing data-informed narratives and visualizations for external publication Preferred qualifications Master’s degree in Statistics, Economics, Mathematics, Engineering, Sciences or a related quantitative field and/or experience in working on data analytics in the tech field Experience working with institutions that are respected by policymakers and the wider public for their economic insight Familiarity with survey design and analysis</t>
  </si>
  <si>
    <t>greenhouse|stripe|7952048</t>
  </si>
  <si>
    <t>7952048</t>
  </si>
  <si>
    <t>Machine Learning Engineer, Capital Underwriting</t>
  </si>
  <si>
    <t>https://stripe.com/jobs/search?gh_jid=7952048</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</si>
  <si>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Capital provides access to fast, flexible financing to small-and-medium businesses on Stripe to accelerate their growth, and we lent over $1B in 2024. Businesses use the funds for marketing, team growth, geographic expansion, working capital, new equipment purchases, and much more. Machine learning is core to Stripe Capital’s business—we use information about businesses from their activity within and outside of Stripe and our models to automatically underwrite uniquely tailored financing offers to their needs, which banks are often unable to do. We are doing so through models with an established performance history, data infrastructure that is Stripe scale, and a strong feedback loop that includes explainability, anomaly detection and a risk portfolio management layer. We're an end-to-end team going from ideas to models to shipping in production. What you’ll do As a machine learning engineer for Stripe Capital, you'll be responsible for designing, building, training, evaluating, deploying, and owning ML models in production with the goals of providing financing opportunities to as many users as possible while satisfying financial performance goals. You'll work closely with software engineers, data scientists, product managers, and risk managers to operate Stripe’s ML powered systems, features, and products. You'll also contribute to and influence ML architecture at Stripe and be a part of a larger ML community. Responsibilities Design state-of-the-art ML models and large scale ML systems for underwriting and portfolio management for Stripe Capital based on ML principles, domain knowledge, risk, regulatory and engineering constraints Design systems to speed up the time from idea to deployment of new models Experiment and iterate on ML models (using tools such as PyTorch and TensorFlow) to achieve key business goals and drive efficiency Develop pipelines and automated processes to train and evaluate models in offline and online environments Integrate ML models into production systems and ensure their scalability and reliability Collaborate with product and strategy partners to propose, prioritize, and implement new product features Engage with the latest developments in ML/AI and take calculated risks in transforming innovative ML ideas into productionized solutions Who you are We are looking for ML Engineers who are passionate about building ML systems that touch the lives of millions. You have experience developing efficient feature pipelines, building advanced ML models, and deploying them to production. You are comfortable with ambiguity, love to take initiative, have a bias towards action, and thrive in a collaborative environment. We’re looking for someone who can bring new ideas to the table on building models able to push the state of the art at Stripe, especially within the regulatory and operational constraints of a financing business. Minimum requirements 5+ years of industry experience building and shipping ML systems in production Proficient with ML libraries and frameworks such as PyTorch, TensorFlow, XGBoost, as well as Spark Hands-on experience in designing, training, and evaluating machine learning models Hands-on experience in productionizing and deploying models at scale Hands-on experience in orchestrating complicated data pipelines and efficiently leveraging large-scale datasets Preferred qualifications MS/PhD degree in ML/AI or related field (e.g. math, physics, statistics) Proven track record of building and deploying ML systems that have effectively solved ambiguous business problems Experience in adversarial domains such as Lending, Trading, Fraud Experience with Deep Learning including the latest architectures such as transformers, test-time compute, reinforcement learning</t>
  </si>
  <si>
    <t>greenhouse|stripe|7739207</t>
  </si>
  <si>
    <t>7739207</t>
  </si>
  <si>
    <t>Sales Compensation Analytics &amp; Systems Specialist</t>
  </si>
  <si>
    <t>CHI, SF, NYC, SEA, US Remote</t>
  </si>
  <si>
    <t>https://stripe.com/jobs/search?gh_jid=7739207</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</si>
  <si>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Sales Compensation team at Stripe is responsible for the overall compensation strategy, design, and payment administration for the global sales organization. We ensure that Stripe's objectives align with the compensation program and that our sales teams are paid accurately and on time. We provide thought leadership for the go-to-market initiatives so that performance and compensation are effectively correlated. The Sales Compensation team partners closely with the revenue-generating and support functions across Stripe to support the success of our go-to-market efforts. What you'll do In this role, you'll digest critical data sets of our sales performance and correlation to variable compensation. The objective is to provide advanced analytics that translate raw trends into a compelling business narrative, synthesizing the strategic implications, quantifying the business impact, and prescribing actionable next steps to shape compensation strategies for our fast-growing sales force. As Stripe's sales teams and commercial strategy grow in size and complexity, this information is required to ensure we have industry-leading compensation mechanisms to motivate and reward our world-class sales organization. An equally important component of your role is supporting the enhancement and use of our Incentive Compensation Management (ICM) tool. You'll work closely with our experienced product expert to ensure we use our ICM to its maximum capacity for compensation calculations and reporting. You'll be equally passionate about data analytics and excel as a program management partner for a compensation system. You'll need experience working with significant autonomy to design an analytics framework for compensation performance measurement, as well as part of a team to support compensation calculations. You bring proven leverage of analytics and quantitative data to calculate and validate compensation. You also bring resilience and the ability to both partner and lead in cross-functional situations. This role is based out of Stripe's South San Francisco, Chicago, or New York City offices. Responsibilities • Monthly measurement of sales force quota attainment at varying degrees of granularity • Monthly forecasting of compensation to target based on monthly quota attainment analysis • Conduct deep-dive analysis to uncover the root causes of disconnects between the performance and compensation correlation. Provide the context on why it is happening and propose specific solutions to align performance with compensation • Provide reporting, with analysis and recommendations, monthly and quarterly to senior business leadership • Support system administration for the quarterly compensation cycle • Ensure the accurate and timely compensation each quarter to the entire sales force through the ICM • Build and maintain reporting dashboards for use at the individual, management, and executive levels Who you are We're looking for someone who meets the minimum requirements to be considered for the role. If you meet these requirements, you are encouraged to apply. The preferred qualifications are a bonus, not a requirement. Minimum requirements • 4+ years of experience in a Sales Compensation or Sales Operations role • BS or BA in Business, Data Science, Economics, Finance, Math, or Statistics • Experience using a commercial Incentive Compensation Management tool (e.g. Callidus, Captivate IQ, Varicent, Xactly) • Demonstrated data analytics expertise with proven results of optimizing sales results • Strong logic, problem-solving, and spreadsheet modeling skills Preferred qualifications • MBA or applicable master's degree (e.g. Finance, Data Science, etc.) • Sales compensation design experience</t>
  </si>
  <si>
    <t>greenhouse|stripe|7826761</t>
  </si>
  <si>
    <t>7826761</t>
  </si>
  <si>
    <t>Software Engineer, Security Analytics Infrastructure</t>
  </si>
  <si>
    <t>US - Remote</t>
  </si>
  <si>
    <t>https://stripe.com/jobs/search?gh_jid=7826761</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</si>
  <si>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In this role, you'd join Stripe's Security Analytics Infrastructure team. Our mission is to enable Stripe's detection and response by generating, centralizing, and organizing security data through simple, reliable pipelines and providing a platform of core security systems. We also undertake experimental, bespoke projects that close Stripe‑specific security gaps and accelerate outcomes for our partner teams. What you'll do As a Software Engineer on this team, you'll use your blend of security and software engineering expertise to build and support our key services including a SIEM, SOAR, endpoint detection and response, server observability, threat intel platform, and AI infrastructure. You'll work closely with partner teams working in multiple program areas of cyber defense, including cyber intelligence, threat detection, vulnerability management, secure devices, and compliance. Overall, you'll help ensure that we have the right data in the right place at the right time for our users. Responsibilities • Build and maintain services and dataflows related to our security analytics platform • Collaborate with other teams to drive improvements to processes our platform supports • Continuously improve our security posture, processes, and tools Who you are We're looking for someone who meets the minimum requirements to be considered for the role. If you meet these requirements, you are encouraged to apply. The preferred qualifications are a bonus, not a requirement. Minimum requirements • 5+ years software engineering experience in a high-stakes production environment • Significant experience in applying software engineering in the cybersecurity field • Experience in applying AI tooling in this space (e.g. Claude Code, agent-based approaches, etc.) • Empathy, strong communication skills, and a deep respect for the power of collaboration • Excellent problem-solving skills and attention to detail • High standards for code quality and a constructive attitude to help others raise the bar Preferred qualifications • Go and Python experience • An ability to think creatively and holistically about reducing risk in a complex environment • Previous experience in a regulated industry (e.g., financial services, healthcare)</t>
  </si>
  <si>
    <t>greenhouse|stripe|7921649</t>
  </si>
  <si>
    <t>7921649</t>
  </si>
  <si>
    <t>Staff Data Analyst</t>
  </si>
  <si>
    <t>https://stripe.com/jobs/search?gh_jid=7921649</t>
  </si>
  <si>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Risk Data Science team builds the data foundations, models, and measurement frameworks that power Stripe's risk and product decisions — from underwriting and reserves to merchant interventions and enablements. We're at an inflection point: as Stripe increasingly offers risk capabilities as a product to platforms and users, we need a data leader to shape how we build, measure, and evolve our risk data strategy across the What you’ll do We are looking for an experienced data analyst to drive the data strategy for our risk as a product offering. Define the metrics, data products, and analytical frameworks needed as Stripe brings risk capabilities to platforms and connected accounts at scale. Partner with Product, Engineering, and Risk leadership to ensure data investments align with the product roadmap. You will design metrics, pipelines, and data products that serve as the analytical backbone for risk decisioning. You will own the definition, reliability, and visibility of our most important risk metrics. Establish a canonical set of north star and operational metrics and ensure they are trustworthy, well-documented, and consistently surfaced to the right audiences. Build and maintain the infrastructure that keeps these metrics accurate as our data and product landscape evolves, including clear ownership, alerting on regressions, and scalable pipelines that reduce the cost of keeping insights current. You will also own and evolve Stripe's risk experimentation strategy by defining what we test, how we measure, and how we learn. Ensure we can rigorously evaluate the impact of changes to risk policies, merchant journeys, and risk models across diverse merchant populations. Finally, you will mentor and raise the bar for the Data Analysts on the team. Set technical and strategic standards. Guide junior and senior analysts on how to frame ambiguous problems, structure analyses for maximum impact, and communicate findings to senior stakeholders. Who you are We’re looking for someone who meets the minimum requirements to be considered for the role. If you meet these requirements, you are encouraged to apply. The preferred qualifications are a bonus, not a requirement. Minimum requirements 10+ years in Data Analytics, Data Science, or related roles Track record of defining and driving data strategy across multiple teams — not just executing on a roadmap, but shaping it Experience designing experimentation frameworks or measurement strategies for complex, multi-variant systems (e.g., risk policies, pricing, marketplace dynamics) Deep expertise in SQL; proficiency in Python Strong ability to translate ambiguous business problems into structured analytical approaches and communicate findings to executive stakeholders Experience building and scaling data products (metrics frameworks, pipelines, dashboards) that become operational infrastructure, not one-off analyses Demonstrated ability to influence without authority across engineering, product, and business teams Proficiency with AI tools to accelerate model development, analysis and coding Preferred qualifications Master’s degree in Mathematics, Statistics, Economics, Engineering, or a related technical field Experience in risk, trust &amp; safety, or related domains and understanding of risk in the Fintech space Experience building data for platform/product offerings where data is part of the product surface, not just internal analytics Familiarity with causal inference and A/B testing in non-standard environments (e.g., where randomization is constrained by risk considerations)</t>
  </si>
  <si>
    <t>workday|usaa|/job/san-antonio-home-office-iiiii/data-scientist-lead---ai-ml_r0115805</t>
  </si>
  <si>
    <t>workday</t>
  </si>
  <si>
    <t>USAA</t>
  </si>
  <si>
    <t>usaa/wd1/USAAJOBSWD</t>
  </si>
  <si>
    <t>/job/San-Antonio-Home-Office-IIIII/Data-Scientist-Lead---AI-ML_R0115805</t>
  </si>
  <si>
    <t>Data Scientist Lead - Model Development</t>
  </si>
  <si>
    <t>6 Locations</t>
  </si>
  <si>
    <t>https://usaa.wd1.myworkdayjobs.com/en-US/USAAJOBSWD/job/San-Antonio-Home-Office-IIIII/Data-Scientist-Lead---AI-ML_R0115805</t>
  </si>
  <si>
    <t>workday|usaa|/job/san-antonio-home-office-i/p-c-analytics-product-development-manager--auto-telematics-_r0119126</t>
  </si>
  <si>
    <t>/job/San-Antonio-Home-Office-I/P-C-Analytics-Product-Development-Manager--Auto-Telematics-_R0119126</t>
  </si>
  <si>
    <t>P&amp;C Analytics Product Development Manager (Auto Telematics)</t>
  </si>
  <si>
    <t>https://usaa.wd1.myworkdayjobs.com/en-US/USAAJOBSWD/job/San-Antonio-Home-Office-I/P-C-Analytics-Product-Development-Manager--Auto-Telematics-_R0119126</t>
  </si>
  <si>
    <t>workday|usaa|/job/san-antonio-home-office-i/director--decision-science-analytics_r0117151</t>
  </si>
  <si>
    <t>/job/San-Antonio-Home-Office-I/Director--Decision-Science-Analytics_R0117151</t>
  </si>
  <si>
    <t>Director, Decision Science Analytics</t>
  </si>
  <si>
    <t>https://usaa.wd1.myworkdayjobs.com/en-US/USAAJOBSWD/job/San-Antonio-Home-Office-I/Director--Decision-Science-Analytics_R0117151</t>
  </si>
  <si>
    <t>workday|usaa|/job/san-antonio-home-office-i/director--decision-science-analytics---omni-channel---digital-claims-analytics_r0118626</t>
  </si>
  <si>
    <t>/job/San-Antonio-Home-Office-I/Director--Decision-Science-Analytics---Omni-Channel---Digital-Claims-Analytics_R0118626</t>
  </si>
  <si>
    <t>Director, Decision Science Analytics – Omni Channel &amp; Digital Claims Analytics</t>
  </si>
  <si>
    <t>7 Locations</t>
  </si>
  <si>
    <t>https://usaa.wd1.myworkdayjobs.com/en-US/USAAJOBSWD/job/San-Antonio-Home-Office-I/Director--Decision-Science-Analytics---Omni-Channel---Digital-Claims-Analytics_R0118626</t>
  </si>
  <si>
    <t>workday|usaa|/job/san-antonio-home-office-i/actuarial-analyst-ii--intermediate----forecasting-analytics_r0118072</t>
  </si>
  <si>
    <t>/job/San-Antonio-Home-Office-I/Actuarial-Analyst-II--Intermediate----Forecasting-Analytics_R0118072</t>
  </si>
  <si>
    <t>Actuarial Analyst II (Intermediate) – Forecasting Analytics</t>
  </si>
  <si>
    <t>https://usaa.wd1.myworkdayjobs.com/en-US/USAAJOBSWD/job/San-Antonio-Home-Office-I/Actuarial-Analyst-II--Intermediate----Forecasting-Analytics_R0118072</t>
  </si>
  <si>
    <t>workday|usaa|/job/san-antonio-home-office-i/licensed-p-c-insurance-professional---sales-and-service--signing-bonus-_r0117154</t>
  </si>
  <si>
    <t>/job/San-Antonio-Home-Office-I/Licensed-P-C-Insurance-Professional---Sales-and-Service--Signing-Bonus-_R0117154</t>
  </si>
  <si>
    <t>Licensed P&amp;C Insurance Professional - Sales and Service (Signing Bonus)</t>
  </si>
  <si>
    <t>San Antonio Home Office I</t>
  </si>
  <si>
    <t>https://usaa.wd1.myworkdayjobs.com/en-US/USAAJOBSWD/job/San-Antonio-Home-Office-I/Licensed-P-C-Insurance-Professional---Sales-and-Service--Signing-Bonus-_R0117154</t>
  </si>
  <si>
    <t>workday|usaa|/job/san-antonio-home-office-i/insurance-professional---sales-and-service_r0117155</t>
  </si>
  <si>
    <t>/job/San-Antonio-Home-Office-I/Insurance-Professional---Sales-and-Service_R0117155</t>
  </si>
  <si>
    <t>Insurance Professional – Sales and Service</t>
  </si>
  <si>
    <t>https://usaa.wd1.myworkdayjobs.com/en-US/USAAJOBSWD/job/San-Antonio-Home-Office-I/Insurance-Professional---Sales-and-Service_R0117155</t>
  </si>
  <si>
    <t>workday|usaa|/job/san-antonio-home-office-i/climate-scientist-senior---p-c-climate-risk---exposure-analytics_r0118347</t>
  </si>
  <si>
    <t>/job/San-Antonio-Home-Office-I/Climate-Scientist-Senior---P-C-Climate-Risk---Exposure-Analytics_R0118347</t>
  </si>
  <si>
    <t>Climate Scientist Senior – P&amp;C Climate Risk &amp; Exposure Analytics</t>
  </si>
  <si>
    <t>https://usaa.wd1.myworkdayjobs.com/en-US/USAAJOBSWD/job/San-Antonio-Home-Office-I/Climate-Scientist-Senior---P-C-Climate-Risk---Exposure-Analytics_R0118347</t>
  </si>
  <si>
    <t>workday|usaa|/job/san-antonio-home-office-i/lead-graph-data-scientist---identity-analytics_r0118883</t>
  </si>
  <si>
    <t>/job/San-Antonio-Home-Office-I/Lead-Graph-Data-Scientist---Identity-Analytics_R0118883</t>
  </si>
  <si>
    <t>Lead Graph Data Scientist - Identity Analytics</t>
  </si>
  <si>
    <t>https://usaa.wd1.myworkdayjobs.com/en-US/USAAJOBSWD/job/San-Antonio-Home-Office-I/Lead-Graph-Data-Scientist---Identity-Analytics_R0118883</t>
  </si>
  <si>
    <t>workday|usaa|/job/san-antonio-home-office-i/data-scientist-senior_r0118568</t>
  </si>
  <si>
    <t>/job/San-Antonio-Home-Office-I/Data-Scientist-Senior_R0118568</t>
  </si>
  <si>
    <t>Data Scientist Senior</t>
  </si>
  <si>
    <t>https://usaa.wd1.myworkdayjobs.com/en-US/USAAJOBSWD/job/San-Antonio-Home-Office-I/Data-Scientist-Senior_R0118568</t>
  </si>
  <si>
    <t>workday|usaa|/job/tampa-crosstown/licensed-p-c-insurance-professional---sales-and-service--signing-bonus-_r0117494</t>
  </si>
  <si>
    <t>/job/Tampa-Crosstown/Licensed-P-C-Insurance-Professional---Sales-and-Service--Signing-Bonus-_R0117494</t>
  </si>
  <si>
    <t>2 Locations</t>
  </si>
  <si>
    <t>https://usaa.wd1.myworkdayjobs.com/en-US/USAAJOBSWD/job/Tampa-Crosstown/Licensed-P-C-Insurance-Professional---Sales-and-Service--Signing-Bonus-_R0117494</t>
  </si>
  <si>
    <t>workday|usaa|/job/tampa-crosstown/insurance-professional---sales-and-service_r0117484</t>
  </si>
  <si>
    <t>/job/Tampa-Crosstown/Insurance-Professional---Sales-and-Service_R0117484</t>
  </si>
  <si>
    <t>Insurance Professional - Sales and Service</t>
  </si>
  <si>
    <t>https://usaa.wd1.myworkdayjobs.com/en-US/USAAJOBSWD/job/Tampa-Crosstown/Insurance-Professional---Sales-and-Service_R0117484</t>
  </si>
  <si>
    <t>workday|usaa|/job/plano-legacy/life-insurance-sales-agent---multi-level-opportunity_r0118601</t>
  </si>
  <si>
    <t>/job/Plano-Legacy/Life-Insurance-Sales-Agent---Multi-Level-Opportunity_R0118601</t>
  </si>
  <si>
    <t>Life Insurance Sales Agent – Multi-Level Opportunity</t>
  </si>
  <si>
    <t>Plano Legacy</t>
  </si>
  <si>
    <t>https://usaa.wd1.myworkdayjobs.com/en-US/USAAJOBSWD/job/Plano-Legacy/Life-Insurance-Sales-Agent---Multi-Level-Opportunity_R0118601</t>
  </si>
  <si>
    <t>workday|usaa|/job/tampa-crosstown/life-insurance-sales-agent---multi-level--opportunity_r0118602</t>
  </si>
  <si>
    <t>/job/Tampa-Crosstown/Life-Insurance-Sales-Agent---Multi-Level--Opportunity_R0118602</t>
  </si>
  <si>
    <t>Life Insurance Sales Agent – Multi-Level  Opportunity</t>
  </si>
  <si>
    <t>https://usaa.wd1.myworkdayjobs.com/en-US/USAAJOBSWD/job/Tampa-Crosstown/Life-Insurance-Sales-Agent---Multi-Level--Opportunity_R0118602</t>
  </si>
  <si>
    <t>workday|usaa|/job/colorado-springs-campus/insurance-professional---sales-and-service_r0118400</t>
  </si>
  <si>
    <t>/job/Colorado-Springs-Campus/Insurance-Professional---Sales-and-Service_R0118400</t>
  </si>
  <si>
    <t>Colorado Springs Campus</t>
  </si>
  <si>
    <t>https://usaa.wd1.myworkdayjobs.com/en-US/USAAJOBSWD/job/Colorado-Springs-Campus/Insurance-Professional---Sales-and-Service_R0118400</t>
  </si>
  <si>
    <t>workday|usaa|/job/plano-legacy/credit-risk-analytics-manager-i_r0116413</t>
  </si>
  <si>
    <t>/job/Plano-Legacy/Credit-Risk-Analytics-Manager-I_R0116413</t>
  </si>
  <si>
    <t>Credit Risk Analytics Manager I</t>
  </si>
  <si>
    <t>https://usaa.wd1.myworkdayjobs.com/en-US/USAAJOBSWD/job/Plano-Legacy/Credit-Risk-Analytics-Manager-I_R0116413</t>
  </si>
  <si>
    <t>workday|usaa|/job/phoenix-campus-main/insurance-professional---sales-and-service_r0118313</t>
  </si>
  <si>
    <t>/job/Phoenix-Campus-Main/Insurance-Professional---Sales-and-Service_R0118313</t>
  </si>
  <si>
    <t>Phoenix Campus (Main)</t>
  </si>
  <si>
    <t>https://usaa.wd1.myworkdayjobs.com/en-US/USAAJOBSWD/job/Phoenix-Campus-Main/Insurance-Professional---Sales-and-Service_R0118313</t>
  </si>
  <si>
    <t>workday|usaa|/job/san-antonio-home-office-i/usaa-signal-fellowship-program-data-and-analytics_r0118277</t>
  </si>
  <si>
    <t>/job/San-Antonio-Home-Office-I/USAA-Signal-Fellowship-Program-Data-and-Analytics_R0118277</t>
  </si>
  <si>
    <t>USAA Signal Fellowship Program-Data and Analytics</t>
  </si>
  <si>
    <t>https://usaa.wd1.myworkdayjobs.com/en-US/USAAJOBSWD/job/San-Antonio-Home-Office-I/USAA-Signal-Fellowship-Program-Data-and-Analytics_R0118277</t>
  </si>
  <si>
    <t>workday|usaa|/job/san-antonio-home-office-i/business-intelligence-analyst-senior_r0118060</t>
  </si>
  <si>
    <t>/job/San-Antonio-Home-Office-I/Business-Intelligence-Analyst-Senior_R0118060</t>
  </si>
  <si>
    <t>Business Intelligence Analyst Senior</t>
  </si>
  <si>
    <t>https://usaa.wd1.myworkdayjobs.com/en-US/USAAJOBSWD/job/San-Antonio-Home-Office-I/Business-Intelligence-Analyst-Senior_R0118060</t>
  </si>
  <si>
    <t>workday|usaa|/job/charlotte-nc---cents/data-scientist-i_r0118100</t>
  </si>
  <si>
    <t>/job/Charlotte-NC---CENTS/Data-Scientist-I_R0118100</t>
  </si>
  <si>
    <t>Data Scientist I</t>
  </si>
  <si>
    <t>Charlotte, NC - CENTS</t>
  </si>
  <si>
    <t>https://usaa.wd1.myworkdayjobs.com/en-US/USAAJOBSWD/job/Charlotte-NC---CENTS/Data-Scientist-I_R0118100</t>
  </si>
  <si>
    <t>workday|usaa|/job/plano-legacy/data-scientist-senior_r0118066</t>
  </si>
  <si>
    <t>/job/Plano-Legacy/Data-Scientist-Senior_R0118066</t>
  </si>
  <si>
    <t>https://usaa.wd1.myworkdayjobs.com/en-US/USAAJOBSWD/job/Plano-Legacy/Data-Scientist-Senior_R0118066</t>
  </si>
  <si>
    <t>workday|usaa|/job/san-antonio-home-office-i/director-hr-data---analytics_r0118116</t>
  </si>
  <si>
    <t>/job/San-Antonio-Home-Office-I/Director-HR-Data---Analytics_R0118116</t>
  </si>
  <si>
    <t>Director-HR Data &amp; Analytics</t>
  </si>
  <si>
    <t>https://usaa.wd1.myworkdayjobs.com/en-US/USAAJOBSWD/job/San-Antonio-Home-Office-I/Director-HR-Data---Analytics_R0118116</t>
  </si>
  <si>
    <t>workday|usaa|/job/san-antonio-home-office-i/licensed-p-c-insurance-professional---sales-and-service--signing-bonus-_r0114411</t>
  </si>
  <si>
    <t>/job/San-Antonio-Home-Office-I/Licensed-P-C-Insurance-Professional---Sales-and-Service--Signing-Bonus-_R0114411</t>
  </si>
  <si>
    <t>https://usaa.wd1.myworkdayjobs.com/en-US/USAAJOBSWD/job/San-Antonio-Home-Office-I/Licensed-P-C-Insurance-Professional---Sales-and-Service--Signing-Bonus-_R0114411</t>
  </si>
  <si>
    <t>workday|allstate|/job/remote---remote/business-intelligence-and-data-analytics-consultant-ii---remote_r32407</t>
  </si>
  <si>
    <t>Allstate</t>
  </si>
  <si>
    <t>allstate/wd5/allstate_careers</t>
  </si>
  <si>
    <t>/job/Remote---Remote/Business-Intelligence-and-Data-Analytics-Consultant-II---Remote_R32407</t>
  </si>
  <si>
    <t>Business Intelligence and Data Analytics Consultant II - Remote</t>
  </si>
  <si>
    <t>Remote - Remote</t>
  </si>
  <si>
    <t>https://allstate.wd5.myworkdayjobs.com/en-US/allstate_careers/job/Remote---Remote/Business-Intelligence-and-Data-Analytics-Consultant-II---Remote_R32407</t>
  </si>
  <si>
    <t>workday|centene|/job/remote-fl/senior-analytics-engineer_1643516-1</t>
  </si>
  <si>
    <t>Centene</t>
  </si>
  <si>
    <t>centene/wd5/Centene_External</t>
  </si>
  <si>
    <t>/job/Remote-FL/Senior-Analytics-Engineer_1643516-1</t>
  </si>
  <si>
    <t>Senior Analytics Engineer</t>
  </si>
  <si>
    <t>Remote-FL</t>
  </si>
  <si>
    <t>https://centene.wd5.myworkdayjobs.com/en-US/Centene_External/job/Remote-FL/Senior-Analytics-Engineer_1643516-1</t>
  </si>
  <si>
    <t>workday|centene|/job/remote-mo/data-analyst-iii_1642364-1</t>
  </si>
  <si>
    <t>/job/Remote-MO/Data-Analyst-III_1642364-1</t>
  </si>
  <si>
    <t>Data Analyst III</t>
  </si>
  <si>
    <t>8 Locations</t>
  </si>
  <si>
    <t>https://centene.wd5.myworkdayjobs.com/en-US/Centene_External/job/Remote-MO/Data-Analyst-III_1642364-1</t>
  </si>
  <si>
    <t>workday|mmc|/job/bogota---calle-26/analyst--insurance-operations_r_348419</t>
  </si>
  <si>
    <t>MMC</t>
  </si>
  <si>
    <t>mmc/wd1/MMC</t>
  </si>
  <si>
    <t>/job/Bogota---Calle-26/Analyst--Insurance-Operations_R_348419</t>
  </si>
  <si>
    <t>Analyst- Insurance Operations</t>
  </si>
  <si>
    <t>Bogota - Calle 26</t>
  </si>
  <si>
    <t>https://mmc.wd1.myworkdayjobs.com/en-US/MMC/job/Bogota---Calle-26/Analyst--Insurance-Operations_R_348419</t>
  </si>
  <si>
    <t>workday|mmc|/job/philadelphia---south-17th/vp--global-analytics_r_337035-1</t>
  </si>
  <si>
    <t>/job/Philadelphia---South-17th/VP--Global-Analytics_R_337035-1</t>
  </si>
  <si>
    <t>VP, Global Analytics</t>
  </si>
  <si>
    <t>https://mmc.wd1.myworkdayjobs.com/en-US/MMC/job/Philadelphia---South-17th/VP--Global-Analytics_R_337035-1</t>
  </si>
  <si>
    <t>workday|mmc|/job/dublin---frame/senior-analyst---digital-visualization-and-data-analytics-development_r_352779</t>
  </si>
  <si>
    <t>/job/Dublin---Frame/Senior-Analyst---Digital-Visualization-and-Data-Analytics-Development_R_352779</t>
  </si>
  <si>
    <t>Analyst - Global Data and Analytics Team (full-stack experience/Angular/React/MEAN/SQL ideal)</t>
  </si>
  <si>
    <t>Dublin - Frame</t>
  </si>
  <si>
    <t>https://mmc.wd1.myworkdayjobs.com/en-US/MMC/job/Dublin---Frame/Senior-Analyst---Digital-Visualization-and-Data-Analytics-Development_R_352779</t>
  </si>
  <si>
    <t>workday|prog leasing|/job/utah/data-scientist--remote-_jr101816-1</t>
  </si>
  <si>
    <t>Prog Leasing</t>
  </si>
  <si>
    <t>progleasing/wd5/ProgLeasingCareers</t>
  </si>
  <si>
    <t>/job/Utah/Data-Scientist--Remote-_JR101816-1</t>
  </si>
  <si>
    <t>Data Scientist (Remote)</t>
  </si>
  <si>
    <t>Utah</t>
  </si>
  <si>
    <t>https://progleasing.wd5.myworkdayjobs.com/en-US/ProgLeasingCareers/job/Utah/Data-Scientist--Remote-_JR101816-1</t>
  </si>
  <si>
    <t>workday|prog leasing|/job/senior-data-analyst--hybrid---atlanta--ha-_jr101798</t>
  </si>
  <si>
    <t>/job/Senior-Data-Analyst--Hybrid---Atlanta--HA-_JR101798</t>
  </si>
  <si>
    <t>Senior Data Analyst (Hybrid - Atlanta, GA)</t>
  </si>
  <si>
    <t>https://progleasing.wd5.myworkdayjobs.com/en-US/ProgLeasingCareers/job/Senior-Data-Analyst--Hybrid---Atlanta--HA-_JR101798</t>
  </si>
  <si>
    <t>workday|trinity health|/job/saint-agnes-medical-center---fresno-california/business-intelligence-analyst-lean-six-sigma-advisor_00680092</t>
  </si>
  <si>
    <t>Trinity Health</t>
  </si>
  <si>
    <t>trinityhealth/wd1/Jobs</t>
  </si>
  <si>
    <t>/job/Saint-Agnes-Medical-Center---Fresno-California/Business-Intelligence-Analyst-Lean-Six-Sigma-Advisor_00680092</t>
  </si>
  <si>
    <t>Business Intelligence Analyst/Lean Six Sigma Advisor</t>
  </si>
  <si>
    <t>Saint Agnes Medical Center - Fresno, California</t>
  </si>
  <si>
    <t>https://trinityhealth.wd1.myworkdayjobs.com/en-US/Jobs/job/Saint-Agnes-Medical-Center---Fresno-California/Business-Intelligence-Analyst-Lean-Six-Sigma-Advisor_00680092</t>
  </si>
  <si>
    <t>greenhouse|mongodb|7696633</t>
  </si>
  <si>
    <t>MongoDB</t>
  </si>
  <si>
    <t>mongodb</t>
  </si>
  <si>
    <t>7696633</t>
  </si>
  <si>
    <t>Senior Data Analyst</t>
  </si>
  <si>
    <t>https://www.mongodb.com/careers/job/?gh_jid=7696633</t>
  </si>
  <si>
    <t>The worldwide data management software market is massive (According to IDC, the worldwide database software market, which it refers to as the database management systems software market, was forecasted to be approximately $82 billion in 2023 growing to approximately $137 billion in 2027. This represents a 14% compound annual growth rate). At MongoDB we are transforming industries and empowering developers to build amazing apps that people use every day. We are the leading developer data platform and the first database provider to IPO in over 20 years. Join our team and be at the forefront of innovation and creativity. MongoDB is seeking a Senior Analyst to support data-driven, people-focused decision making for the company. Partnering with our People team, you will transform HR and organizational data into actionable insights to help us hire the right talent, manage our overall workforce, and improve workforce effectiveness, leading to better outcomes for our people and the company. This position requires someone with strong analytical and technical skills, the ability to tell a story with data, and who is comfortable working across multiple functional areas in a fast-paced, challenging environment. Responsibilities Partner with People teams (business partners, recruiting, culture/talent/development, etc.) to understand their questions, turn analyses into actionable data-driven insights, and make business recommendations Help develop and execute against roadmap for people data investments to both capture near-term value and set up the team for long-term success Leverage understanding of statistics to conduct analyses that help People teams make quicker, more informed decisions Write and maintain complex queries to conduct deep-dive analyses on the impact that People initiatives have on employee engagement, productivity and retention Liaise with Data Engineering and HRIS teams to create and manage a curated central repository for people data Design and build automated dashboards to empower stakeholders to self-serve their data and analytical needs Prioritize and triage analytical and reporting asks from across the People team Develop and support ongoing data governance and data quality processes Effectively communicate analytical findings to non-technical audiences Requirements 3+ years of hands-on analytics experience (focus on people/HR analytics preferred) Advanced SQL skills, comfortable manipulating very large datasets Proficient in Python or R with a strong focus on data wrangling and data analysis Extensive experience with Tableau or another leading visualization tool is required Experience analyzing complex people data (e.g. headcount, attrition, recruiting metrics, compensation data) strongly preferred but not required Experience in survey design and analysis preferred Familiarity with data architecture fundamentals and data warehousing Proficiency with data modeling and data quality best practices Demonstrated ability to effectively communicate and set priorities with key stakeholders at all levels of the organization Highly collaborative and organized, with a strong attention to detail Comfort with ambiguity and ability to work in a self-guided manner Committed to contributing to a collaborative, enjoyable, and psychologically safe work environment Exposure to Modern Cloud Data Warehouses preferred About MongoDB MongoDB is built for change, empowering our customers and our people to innovate at the speed of the market. We have redefined the database for the AI era, enabling innovators to create, transform, and disrupt industries with software. MongoDB’s unified database platform, the most widely available, globally distributed database on the market, helps organizations modernize legacy workloads, embrace innovation, and unleash AI. Our cloud-native platform, MongoDB Atlas, is the only globally distributed, multi-cloud database and is available across AWS, Google Cloud, and Microsoft Azure. With offices worldwide and over 60,000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1273383451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$83,000 — $162,000 USD</t>
  </si>
  <si>
    <t>greenhouse|mongodb|7742875</t>
  </si>
  <si>
    <t>7742875</t>
  </si>
  <si>
    <t>Senior Python Engineer</t>
  </si>
  <si>
    <t>https://www.mongodb.com/careers/job/?gh_jid=7742875</t>
  </si>
  <si>
    <t>Our Database Experience (DBX) Team A great MongoDB experience starts with great tools. The Database Experience team builds the libraries and tools that developers use day-to-day working with MongoDB. Our mission is to increase developer adoption, satisfaction and retention by providing a reliable, enjoyable interface for developers and other end-users. Our senior engineers are typically specialists in a particular programming language, but are capable of contributing to projects in other languages as well. For this role, we're looking for someone who will enjoy designing, writing, and supporting open source libraries for the Python ecosystem developers that use MongoDB. This is an opportunity to make a major impact at MongoDB as Python is one of the most popular runtimes for MongoDB users, and our driver has over 3 million daily pypi downloads. You might be right for this role if you... Have substantial experience writing high-quality software in Python Have extensive knowledge in Python tools and frameworks, scientific python and web development frameworks Have practical experience with AI/ML frameworks and technologies in Python, including large language models and agentic tools are a plus Have an interest in learning and staying up-to-date with Python ecosystem trends and best practices and incorporating them into your work Can make pragmatic design decisions, balancing tradeoffs such as usability, maintainability and delivery time Want to, or already do, participate in open source software development and communities, both online via e.g. GitHub and optionally through conferences and speaking engagements Communicate well, internally and externally, both verbally and in writing Enjoy collaborating with teammates, and mentoring junior engineers and interns Are self-motivated, organized, and have strong time management skills You'll be on the team responsible for... Developing and supporting the MongoDB Python drivers and subsidiary libraries ( PyMongo , Django MongoDB Backend , PyMongoArrow , LangChain MongoDB ) and related software, collaborating with peers in our distributed world-wide engineering team Writing and maintaining open source specifications defining common behavior and APIs shared across all of our drivers Investigating bugs and support requests from commercial customers, open source users, and internal users for the libraries our team maintains Working with our Product and Server teams on designs and specifications for new user-facing MongoDB features Success in this role means... Within one month, you will understand the high-level architecture of the drivers and how MongoDB works, and will have completed a few small bug fixes and/or feature tickets Within three months, you will be contributing effectively day-to-day, fixing bugs, implementing features, investigating and responding to open source user and customer issues, and reviewing your peers' code Within six months, you'll have implemented major, planned new features, contributed to our common driver specifications, shipped a major feature in an open source library, and will be collaborating with the Product team to help craft our roadmap Within twelve months, you'll have significantly improved the quality, performance and maintainability of our codebase, and will be taking the lead in designing and specifying major new features About MongoDB MongoDB is built for change, empowering our customers and our people to innovate at the speed of the market. We have redefined the data platform for the AI era, enabling builders to create, transform, and disrupt industries with software. MongoDB’s unified data platform, the most widely available, globally distributed data platform on the market, helps organizations modernize legacy workloads, embrace innovation, and unleash AI. Our cloud-native platform, MongoDB Atlas, is the only globally distributed, multi-cloud data platform and is available across AWS, Google Cloud, and Microsoft Azure. With offices worldwide and over 67,000 customers, including 75% of the Fortune 100 and AI-native startups, 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 we value our employees’ wellbeing and want to support them along every step of their professional and personal journeys. Learn more about what it’s like to work at MongoDB ,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1273396098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$126,000 — $248,000 USD</t>
  </si>
  <si>
    <t>greenhouse|coinbase|7942306</t>
  </si>
  <si>
    <t>Coinbase</t>
  </si>
  <si>
    <t>coinbase</t>
  </si>
  <si>
    <t>7942306</t>
  </si>
  <si>
    <t>AMLCO &amp; Senior Compliance Associate</t>
  </si>
  <si>
    <t>Remote - Cyprus</t>
  </si>
  <si>
    <t>https://www.coinbase.com/careers/positions/7942306?gh_jid=7942306</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</si>
  <si>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the AMLCO &amp; Senior Compliance Associate for Coinbase's Cyprus MiFID entity, you'll own Financial Crime Compliance (AML/CFT) while supporting the Head of Compliance in building and running the broader compliance program. The Compliance team ensures our Cyprus operations meet CySEC and EU regulatory expectations across AML/CFT, MiFID conduct, Market Abuse, and data protection, enabling the business to scale safely. You'll combine formal AMLCO responsibilities with hands-on second-line oversight of risk assessment, monitoring, policy governance, training, and regulatory engagement. Hybrid Role: Please expect to be remote 4 days per week and in-office on Wednesdays. What you'll do: Own all AMLCO deliverables for the Cyprus MiFID entity, including the Annual AMLCO Report, AML Risk Assessment, and periodic financial crime compliance reporting to senior management and the Board. Lead second-line monitoring and testing across AML/CFT and broader conduct/compliance areas, documenting results, findings, and remediation actions for internal governance bodies. Drive regulatory engagement with CySEC, the FIU, and competent authorities, coordinating responses to information requests, inspections, and thematic reviews. Partner with first-line teams to assess the effectiveness of onboarding, KYC/EDD, sanctions screening, transaction monitoring, and STR/SAR reporting controls, escalating gaps and driving remediation. Build and maintain local compliance and AML/CFT policies, procedures, and frameworks aligned with EU/Cyprus requirements (MiFID II, AMLD, MiCA) and group-level standards. Support the Head of Compliance with day-to-day oversight, governance preparation, and key projects, serving as deputy during periods of absence. Required Skills and Experience: 4-6 years in compliance roles within Cyprus-regulated financial services, with direct AML/CFT and MiFID investment services exposure, including at least 2 years in senior-level positions. CySEC Advanced and CySEC AML certifications held. Demonstrated experience preparing AMLCO deliverables (Annual Reports, AML Risk Assessments) and executing second-line monitoring/testing programs. Proven track record engaging with CySEC, the FIU, or external auditors through inspections, thematic reviews, or regulatory reporting cycles. Hands-on experience drafting compliance policies and operating or overseeing AML/CFT frameworks within EU-regulated entities. Fluency in English required; Greek language proficiency is a strong plus. Utilizes generative AI responsibly, maintaining human oversight to deliver business-ready outputs and drive measurable improvements in workflow efficiency, cost, and quality. Req ID: P76940 #LI-Remote Pay Transparency Notice: The target annual base salary for this position can range as detailed below. Total compensation may also include equity and bonus eligibility and benefits (including medical, dental, and vision). Annual base salary range (excluding equity and bonus): €64.100 — €64.100 EUR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</si>
  <si>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greenhouse|coinbase|8020892</t>
  </si>
  <si>
    <t>8020892</t>
  </si>
  <si>
    <t>Analytics Engineer</t>
  </si>
  <si>
    <t>Remote - USA</t>
  </si>
  <si>
    <t>https://www.coinbase.com/careers/positions/8020892?gh_jid=8020892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</si>
  <si>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Analytics Engineer - Compliance Data As an Analytics Engineer on the Compliance Data team within Platform , you'll build and maintain the production-grade data foundations that every regulatory obligation at Coinbase depends on. This team owns the Compliance Data Mart (CDM), Coinbase's canonical source of truth for user, transaction, and compliance data. You'll own the full lifecycle of data models and pipelines that downstream reporting, analytics, and AI workflows all build on, while also delivering accurate, timely data when regulators come calling. What you'll do: Own end-to-end development of production-grade data models and pipelines at the core of the CDM, covering user, transaction, and compliance data across retail and institutional product lines, from architecture through deployment and maintenance. Build data quality checks, data contracts, validation logic, and monitoring that protect data integrity before issues propagate to downstream reports or workflows. Partner with upstream engineering teams to fix data gaps and absorb product changes at the source, taking accountability for data issues anywhere in the stack rather than passing them downstream. Support live regulatory exams, audits, and ad hoc regulator requests with accurate, timely data, balancing time-sensitive reactive work with long-term foundational projects. Automate recurring manual workflows into scalable pipelines and self-serve tooling, enabling downstream teams and AI agents to answer their own questions. Required Skills and Experience: 2+ years of experience building and maintaining production data pipelines and data models, with strong proficiency in SQL, Python, dbt, and a modern warehouse platform (Snowflake, Databricks, or similar). Track record implementing data quality frameworks including data contracts, validation logic, reconciliation, and monitoring to catch issues before they reach downstream reports. Experience supporting time-sensitive, high-stakes data needs (regulatory exams, audits, or financial reporting) where accuracy and timeliness are non-negotiable. Demonstrated ability to turn tribal knowledge and recurring manual workflows into durable, documented infrastructure. Utilizes generative AI responsibly, maintaining human oversight to deliver business-ready outputs and drive measurable improvements in workflow efficiency, cost, and quality. Job ID: P77413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</si>
  <si>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greenhouse|coinbase|8024880</t>
  </si>
  <si>
    <t>8024880</t>
  </si>
  <si>
    <t>Analytics Engineer, GFCO Analytics</t>
  </si>
  <si>
    <t>https://www.coinbase.com/careers/positions/8024880?gh_jid=8024880</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</si>
  <si>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We're hiring an Analytics Engineer to join the GFCO Analytics Engineering team and build the data foundations that power customer experience and compliance operations at Coinbase. You'll own end-to-end data pipelines, develop trusted metrics, and enable CX stakeholders to make faster, better decisions with clean, reliable data. This is a high-impact role where you'll directly influence how we serve and protect our customers while scaling our analytics capabilities. What you'll do: Own the design, build, and maintenance of data models and pipelines that support CX operations, compliance reporting, and customer insights, ensuring data is accurate, timely, and well-documented. Partner with CX Operations, Compliance, and Product teams to translate business needs into data requirements and deliver self-serve analytics solutions that reduce manual effort. Build and maintain dashboards, metrics, and reporting tools that give CX leaders visibility into performance, customer trends, and compliance health. Drive data quality and governance within the CX data domain by implementing testing, monitoring, and documentation standards that ensure stakeholder trust in the data. Identify opportunities to automate recurring data workflows and reporting processes, shifting the team from reactive requests toward scalable, self-serve solutions. Collaborate with broader Data Engineering and Analytics teams to align on best practices, share learnings, and contribute to Coinbase's overall data infrastructure. Required Skills and Experience: 3+ years of experience in analytics engineering, data engineering, or a related data role, with hands-on experience building and maintaining data pipelines and models. Proficiency in SQL and experience with modern data stack tools such as dbt, Airflow, and cloud data warehouses (Snowflake, Databricks, or similar). Experience with data modeling concepts (dimensional modeling, star/snowflake schemas) and building trusted, well-documented data products. Familiarity with BI/visualization tools (Looker, Tableau, or similar) and experience building dashboards and self-serve analytics solutions. Track record of partnering with non-technical stakeholders to translate business needs into data solutions, particularly in customer experience, operations, or compliance domains.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$152,405 — $179,300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</si>
  <si>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greenhouse|coinbase|8031260</t>
  </si>
  <si>
    <t>8031260</t>
  </si>
  <si>
    <t>Machine Learning Engineer, CX Intelligence</t>
  </si>
  <si>
    <t>Remote - Brazil</t>
  </si>
  <si>
    <t>https://www.coinbase.com/careers/positions/8031260?gh_jid=8031260</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</si>
  <si>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Engineering team, part of Coinbase's Enterprise Applications and Architecture org, builds the multi-agent platform powering Coinbase Chat, Help Center, and agent tooling. As a Machine Learning Engineer on this team, you'll design and scale the agentic systems that automate complex customer support workflows, connecting LLMs with internal APIs and tools to deliver fast, accurate, and compliant AI-powered experiences for millions of customers. What you'll do: Architect multi-agent systems using advanced orchestration frameworks (LangGraph, Google ADK) to automate complex customer support procedures end-to-end. Build and scale integrations using Model Context Protocol (MCP) to connect LLMs with internal Coinbase APIs, databases, and third-party tooling. Develop automated "LLM-as-a-judge" evaluation pipelines to monitor, measure, and improve the performance of non-deterministic AI agents in production. Implement RAG, fine-tuning, and prompt engineering techniques to ensure chatbot responses are grounded, accurate, and compliant with Coinbase policies. Ship production-ready Python services that are resilient, low-latency, and capable of handling Coinbase-scale traffic across asynchronous microservices. Partner with Conversation Design and Product to translate complex business logic into executable agent procedures within the decentralized architecture. Required Skills and Experience: 3+ years building and scaling ML/AI systems in production, with demonstrated experience implementing agentic "Loop" or "ReAct" based systems where AI takes actions autonomously. Deep understanding of the LLM lifecycle including context window management, token optimization, structured output parsing (Pydantic, JSON mode), and multi-agent orchestration frameworks (LangGraph, Google ADK, or similar). Strong proficiency in Python with hands-on experience in microservices architecture, asynchronous programming, high-throughput APIs, and vector databases (Pinecone, Weaviate, or equivalent). Demonstrated ability to explain model behaviors and technical trade-offs to non-technical stakeholders across CX, Legal, and Product teams. Utilizes generative AI responsibly, maintaining human oversight to deliver business-ready outputs and drive measurable improvements in workflow efficiency, cost, and quality. Job ID: P77545 Pay Transparency Notice: The target annual base salary for this position can range as detailed below. Total compensation may also include equity and bonus eligibility and benefits (including medical, dental, and vision). Annual base salary range (excluding equity and bonus): R$347.900 — R$347.900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</si>
  <si>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greenhouse|coinbase|7984814</t>
  </si>
  <si>
    <t>7984814</t>
  </si>
  <si>
    <t>Payments Risk Analyst II</t>
  </si>
  <si>
    <t>https://www.coinbase.com/careers/positions/7984814?gh_jid=7984814</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</si>
  <si>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Payments Risk Analyst II As a Payments Risk Analyst II on the Risk &amp; Fraud team within the Consumer &amp; Business group, you'll own the identification and mitigation of fraud risk across Coinbase's fiat payment rails, protecting the company's bottom line and millions of customers without degrading the user experience. You'll join a team that is modernizing its risk controls and building next-generation fraud prevention systems, giving you the opportunity to shape how we protect customers at scale across one of crypto's highest-volume retail platforms. What you'll do: Own end-to-end risk controls for ACH payments, scaling fraud prevention processes to keep pace with business expansion. Drive detection and mitigation of fraudulent deposit activity by implementing targeting logic against bad actors and high-risk behavior. Lead quantitative analysis of fraud performance, measuring rule precision and recall, assessing the financial impact of decisions, and surfacing tradeoffs to leadership with clear, data-backed recommendations. Partner cross-functionally with Product, Growth, Data Science, Risk ML, and Engineering to develop and iterate on risk management strategies, including the transition from heuristic rules to model-driven and synchronous friction controls. Execute investigations into anomalous customer and transaction behavior, proactively identifying monitoring gaps and closing them before they become losses. Required Skills and Experience: 4+ years of experience in risk, fraud, or payments operations, with at least 2 years focused on payments fraud prevention in a fintech, e-commerce, or financial services environment. 2+ years of hands-on experience querying and analyzing large datasets using SQL, with the ability to independently scope and execute analytics projects end-to-end. Demonstrated experience using identity-provider data and fraud-detection tooling to implement and tune risk controls. Proven ability to measure the financial impact of fraud decisions and communicate findings to senior leadership and cross-functional stakeholders. Demonstrated working knowledge of ACH payment processing and applicable NACHA rules.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$135,320 — $159,200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</si>
  <si>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greenhouse|coinbase|7736521</t>
  </si>
  <si>
    <t>7736521</t>
  </si>
  <si>
    <t>Senior Analytics Engineer (Platform - Financial Analytics)</t>
  </si>
  <si>
    <t>https://www.coinbase.com/careers/positions/7736521?gh_jid=7736521</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</si>
  <si>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Senior Analytics Engineer As a Senior Analytics Engineer on the Platform team, you'll build the scalable data models and pipelines that power analytics, experimentation, and decision-making across Coinbase. Our Analytics Engineering team transforms raw data into trusted, well-modeled sources that stakeholders across Product, Engineering, and Data Science rely on daily. You'll own end-to-end data solutions for specific business domains, turning complex data flows into clean, reusable frameworks that unlock commercial value at scale. What you'll do: Own end-to-end data modeling for assigned business domains, from understanding source system data flows through designing modular, reusable models (star/snowflake schemas) that serve as the single source of truth for downstream teams. Build and optimize ETL/ELT pipelines using modern tools like dbt and Airflow, ensuring data quality, reliability, and performance at scale across Snowflake or similar warehouse architectures. Partner with Engineering, Product, and Data Science teams to identify data gaps, define requirements, and deliver data products that directly enable experimentation, ad hoc analysis, and business metric optimization. Develop scalable abstractions and frameworks (UDFs, Python packages, internal data apps) that multiply the efficiency of other data teams and reduce time-to-insight across the organization. Design and deliver dashboards and visualization layers using tools like Looker or Tableau, translating complex data into clear, actionable views for cross-functional stakeholders. Required Skills and Experience: 5+ years in analytics engineering or data engineering with demonstrated expertise in designing modular data models and building production ETL/ELT pipelines using dbt, Airflow, or similar. Advanced SQL proficiency for complex transformations and query optimization, plus intermediate-to-advanced Python for scripting, automation, and building scalable frameworks (OOP experience preferred). Production experience with modern data warehouse architectures (Snowflake, Databricks) including performance tuning, data quality monitoring, and version-controlled development workflows (GitHub, CI/CD). Proven track record delivering data solutions that generated measurable business impact, with the ability to independently build domain expertise and communicate technical trade-offs to Product, Engineering, and business stakeholders. Experience with prompt engineering for LLMs (e.g., GPT), including designing and optimizing prompts for internal tooling and automation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$180,370 — $212,200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</si>
  <si>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greenhouse|coinbase|8009392</t>
  </si>
  <si>
    <t>8009392</t>
  </si>
  <si>
    <t>Senior Data Scientist, CX Analytics</t>
  </si>
  <si>
    <t>https://www.coinbase.com/careers/positions/8009392?gh_jid=8009392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</si>
  <si>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Data Scientist on the CX Consumer Analytics team, you will serve as the foundational link between CX operations and top-line financial impact, owning the revenue calibration models, experimentation frameworks, and behavioral intelligence that connect every customer support interaction to Coinbase's asset accumulation flywheel. You will partner closely with CX Analytics Engineers, Program Managers, and Product teams to translate complex operational and behavioral data into defensible, executive-ready insights that drive measurable improvements in retention, product adoption, and automation quality. What you'll do: Own and evolve CX's Downstream Impact of Support (DSI) revenue calibration models, translating support interaction data into quantified revenue signals. Design and execute causal inference frameworks and experiments to measure the incremental impact of CX programs (Concierge, Proactive Outreach, automation interventions) on customer retention and product engagement. Build and maintain LLM-powered classification pipelines for CX contact taxonomy, customer friction detection, and issue attribution, partnering with Analytics Engineers to productionize models into CX's governed Source of Truth infrastructure. Partner with CX Program Managers and Product teams to define segmentation models and behavioral signals that enable personalized experiences and improve business outcomes. Maintain a high bar for statistical rigor across CX's analytics function, ensuring experimentation, causal analyses, and model outputs meet the standards required for executive reporting and regulatory defensibility. Required Skills and Experience: A BA/BS in a quantitative field (e.g., Statistics, Mathematics, Computer Science, Economics) with 5+ years of relevant experience, or a PhD in a quantitative field with 3+ years of relevant experience. Demonstrated experience building revenue attribution or causal impact models and driving data science projects through ambiguous problem spaces in a consumer-facing or operational analytics context. Practical expertise applying statistical concepts including A/B testing, causal inference, and ML to real-world business problems, with a high bar for production-grade accuracy and evaluation rigor. Experience designing and deploying LLM-based classification or NLP pipelines for operational or customer-facing use cases. Ability to influence cross-functional stakeholders by synthesizing complex model outputs into clear, actionable narratives for executive and product audiences.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Base salary varies by location (see range below). Total compensation may also include equity and bonus eligibility, and benefits (medical, dental, vision, 401(k)). Annual base salary range (excluding equity and bonus): $180,370 — $212,000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</si>
  <si>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greenhouse|coinbase|7739592</t>
  </si>
  <si>
    <t>7739592</t>
  </si>
  <si>
    <t>Senior Machine Learning Engineer</t>
  </si>
  <si>
    <t>Remote - India</t>
  </si>
  <si>
    <t>https://www.coinbase.com/careers/positions/7739592?gh_jid=7739592</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</si>
  <si>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The CX Intelligence team is part of Coinbase’s Enterprise Applications and Architecture org and builds the customer-facing and internal CX experiences that connect the Help Center, chatbots (CBCB), and agent workflows. The team owns the multi-agent platform which powers coinbase chat, Help Center and agent tooling surfaces, partnering closely with Conversation Design, CX, and other Engg teams to deliver secure, compliant, and scalable AI-powered support. Our work provides the trusted and accurate automated and agent-assisted experiences—helping customers get answers faster while enabling human agents to resolve cases more effectively. We are hiring an IC5 Machine Learning Engineer to drive the evolution of our conversational ecosystem by building a seamless hybrid vendor-internal chatbot experience. You will lead the design and implementation of a sophisticated unified orchestration layer that coordinates interactions between vendor AI, internal multi-agent systems, and human participants. This role is pivotal in managing complex state transitions, context sharing, and intent routing across a distributed environment. You’ll thrive here if you enjoy high ownership, architecting complex hand-off logic between disparate LLM frameworks, and building reliable AI-enabled products that are fast, measurable, and scalable.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Demonstrates the ability to responsibly use generative AI tools and copilots (e.g., LibreChat, Gemini, Glean) in daily workflows, continuously learn as tools evolve, and apply human‑in‑the‑loop practices to deliver business‑ready outputs and drive measurable improvements in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₹6,612,600 — ₹6,612,600 INR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</si>
  <si>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greenhouse|coinbase|8008569</t>
  </si>
  <si>
    <t>8008569</t>
  </si>
  <si>
    <t>Senior Machine Learning Engineer, CX Intelligence</t>
  </si>
  <si>
    <t>https://www.coinbase.com/careers/positions/8008569?gh_jid=8008569</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</si>
  <si>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Machine Learning Engineer on the CX Intelligence team within Enterprise Applications and Architecture, you'll build the AI-powered conversational systems that connect Coinbase's Help Center, chatbots, and agent workflows. The team owns the multi-agent platform powering Coinbase Chat and agent tooling, partnering with Conversation Design, CX, and Engineering to deliver secure, scalable automated support. You'll lead the design and implementation of a unified orchestration layer that coordinates interactions between vendor AI, internal multi-agent systems, and human participants, directly improving how millions of customers get help. What you'll do: Architect and deploy the orchestration layer that manages state transitions, context sharing, and intent routing across vendor and internal LLM frameworks in a distributed conversational environment. Build production-grade Python services that bridge advanced ML/AI research with reliable, measurable customer-facing products. Lead end-to-end project execution for complex ML initiatives, managing priorities, technical trade-offs, and cross-functional dependencies from design through delivery. Establish best practices for system design, coding standards, and AI/ML development workflows across the team. Mentor engineers on architectural integrity and modern AI/ML patterns, raising the technical bar for the broader team. Conduct design reviews to ensure every feature meets Coinbase's standards for security, scalability, and performance. Required Skills and Experience: 5+ years of professional experience in machine learning and software engineering, with a track record of shipping production-grade ML services at scale. Hands-on expertise building with modern AI architectures (LLMs, deep learning) and the generative AI ecosystem, including frameworks such as LangGraph, LangSmith, Google ADK, Vertex AI, or AWS Bedrock. Deep proficiency in Python with demonstrated ability to write clean, maintainable, highly-tested production code. Specialized knowledge in at least one domain: NLP, information retrieval, computer vision, or advanced statistical modeling. Proven ability to write technical design documents and present ML system architectures to cross-functional stakeholders, translating complex technical concepts for non-technical audiences. Utilizes generative AI responsibly, maintaining human oversight to deliver business-ready outputs and drive measurable improvements in workflow efficiency, cost, and quality. Pay Transparency Notice: The target annual base salary for this position can range as detailed below. Total compensation may also include equity and bonus eligibility and benefits (including medical, dental, and vision). Annual base salary range (excluding equity and bonus): R$455.500 — R$455.500 BRL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</si>
  <si>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greenhouse|coinbase|8008047</t>
  </si>
  <si>
    <t>8008047</t>
  </si>
  <si>
    <t>Senior Program Manager, Contracts &amp; Analytics</t>
  </si>
  <si>
    <t>https://www.coinbase.com/careers/positions/8008047?gh_jid=8008047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</si>
  <si>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Senior Program Manager, Contracts &amp; Analytics, you'll join Coinbase's Legal Operations team to own the strategic direction, in-house build roadmap, and ongoing optimization of our Contract Lifecycle Management (CLM) ecosystem. This role goes beyond configuration - you'll define what gets built, set the technical vision for contracting workflows, and drive AI enablement across the team. You'll serve as a strategic partner to Institutional Sales, Enterprise Architecture, and Engineering, ensuring Coinbase's contracting infrastructure scales with the business and delivers measurable speed, compliance, and insight improvements. What you'll do: Own the CLM technology roadmap and backlog, setting strategic direction for what to build, integrate, or optimize across Ironclad, Evisort, Salesforce, and emerging tools, and translating that vision into a prioritized delivery plan. Lead in-house builds and workflow development that extend beyond standard SaaS configuration, partnering with Enterprise Architecture and Engineering to design scalable, integrated contracting solutions. Drive AI enablement for the Legal Operations team by identifying high-impact automation opportunities, standing up proof of concepts (e.g., N8N, Workato, Claude, Glean), and facilitating trainings, office hours, and adoption programs that raise the team's AI fluency. Develop and manage the comprehensive contracts reporting framework and system of record for all agreements, including data extraction, metadata integrity, and data models that surface actionable insights to Institutional Sales and Legal leadership. Communicate roadmap enhancements, program outcomes, and strategic recommendations to senior stakeholders, ensuring cross-functional alignment on contracting priorities and technology investments. Lead large, cross-functional contracts initiatives end-to-end, managing dependencies across Legal, Sales, Engineering, and Compliance, and delivering on time and within scope. Required Skills and Experience: 8+ years of program or project management experience within Legal Operations, contract management, or a technology-driven operations function, with a track record of setting strategic direction for tooling and workflows, not just executing on them. Demonstrated experience owning a technology roadmap and backlog, including prioritizing build-vs-buy decisions, scoping in-house development work, and partnering with engineering and architecture teams to deliver integrated solutions. Expert-level, hands-on experience with Contract Lifecycle Management (CLM) systems (Ironclad required), including workflow design, template management, reporting, and integration planning with platforms like Salesforce. Proven ability to drive AI and automation adoption within a team, including evaluating tools, building proof of concepts, and leading enablement programs that result in measurable workflow improvements. Working knowledge of legal technology and AI-driven contract review tools (e.g., Evisort), with experience in data extraction, metadata management, and building reporting frameworks that serve as the system of record for agreements. Utilizes generative AI responsibly, maintaining human oversight to deliver business-ready outputs and drive measurable improvements in workflow efficiency, cost, and quality. Postion ID: P77368 #LI-Remote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</si>
  <si>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greenhouse|coinbase|7891045</t>
  </si>
  <si>
    <t>7891045</t>
  </si>
  <si>
    <t>Staff Machine Learning Engineer(Platform - Identity)</t>
  </si>
  <si>
    <t>https://www.coinbase.com/careers/positions/7891045?gh_jid=7891045</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</si>
  <si>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Staff Machine Learning Engineer, Identity Verification As a Staff Machine Learning Engineer on the Identity Verification team within the Platform group, you'll own the ML systems that determine whether a person, document, and capture session are legitimate. Every signup, account recovery, and high-risk action at Coinbase depends on these models. You'll lead the technical strategy for IDV ML end-to-end, from architecture through production enforcement, protecting the integrity of millions of accounts. What you'll do: Own the full IDV ML stack, including document authenticity models, 1:1 and 1:N face-match, liveness detection, presentation-attack detection, and deepfake/injection detection from feature pipeline through threshold tuning and production enforcement. Build identity-graph systems using GNNs that cluster accounts sharing biometric, device, and document signals to detect synthetic-identity rings and coordinated fraud at onboarding. Develop behavioral and device-intelligence models for capture-session anomaly detection, bot-vs-human classification, and device-fingerprint-based risk scoring at real-time latency. Drive vendor ML strategy by benchmarking external models against a Coinbase-owned evaluation set, designing dynamic routing logic across providers and geographies, and building the in-house evaluation layer that catches regressions before they reach users. Lead and mentor senior and mid-level engineers in the pod while partnering with ML Platform and Risk ML teams to align cross-company ML system design. Required Skills and Experience: 8+ years deploying production ML systems at scale, with proven technical leadership owning cross-team ML architecture from design through production. Domain experience in identity verification, biometrics, or account integrity with deep applied ML in at least two of: computer vision/biometrics, GNNs, sequence models, or NLP/LLMs. Expert-level Python with production experience in TensorFlow or PyTorch, including model training, evaluation, and serving infrastructure. Track record translating KYC/AML requirements and fraud trends into ML roadmaps and communicating trade-offs to Product, Compliance, Risk, and Security stakeholders.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$218,025 — $256,500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</si>
  <si>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greenhouse|coinbase|8002967</t>
  </si>
  <si>
    <t>8002967</t>
  </si>
  <si>
    <t>Staff ML Risk Analyst</t>
  </si>
  <si>
    <t>https://www.coinbase.com/careers/positions/8002967?gh_jid=8002967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</si>
  <si>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Staff ML Risk Analyst on the Growth &amp; Risk team within the Consumer &amp; Business group, you'll sit at the intersection of fraud intelligence and machine learning infrastructure, defining how we identify, model, and respond to sophisticated fraud at scale. Fraud at Coinbase is fast-evolving, with professional, adaptive counterparties that outpace any human response team. You'll build and shape the ML-powered, automated solutions that detect and prevent account takeover (ATO) and scam activity before it reaches our users, setting the technical direction for the ML Analytics function within Growth &amp; Risk. What you'll do: Define the ML data and feature strategy for fraud detection, determining what data needs to enter our systems so models can take intelligent, high-accuracy action on the small fraction of traffic where intervention matters most. Own the end-to-end feature engineering pipeline, identifying, building, validating, and promoting features that drive measurable improvements in ATO and scam ML performance. Diagnose gaps between current tooling infrastructure and the solutions needed, driving the roadmap to close them by applying deep knowledge of how the ML industry has evolved architecturally. Partner with Machine Learning Engineers to translate analytical insights into production-ready ML systems, ensuring models are instrumented, monitored, and continuously improved. Mentor junior team members across the ML Analytics function, defining the technical approach and translating direction into execution. Partner cross-functionally with Product Managers and Risk Analysts to surface fraud signals and translate ML findings into business-impacting decisions. Required Skills and Experience: 8+ years of hands-on experience in machine learning analytics, data science, or a related technical field, with meaningful experience applied to risk, fraud, or payments problems. Practitioner-level proficiency in Spark, Python, and big data ML as a core working stack, with demonstrated ability to operate beyond SQL and rule-based approaches. Proven experience in feature engineering for ML models, including identifying signals, building pipelines, and validating feature quality at scale. Working knowledge of the ML infrastructure landscape evolution, from Hadoop-era big data through modern feature stores (e.g., Tecton, Feast), with the ability to apply that context to close infrastructure gaps. Demonstrated ability to optimize ML systems for sensitivity and accuracy on high-stakes, low-volume fraud traffic rather than broad-coverage, high-volume use cases.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$193,970 — $228,200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</si>
  <si>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greenhouse|coinbase|8024877</t>
  </si>
  <si>
    <t>8024877</t>
  </si>
  <si>
    <t>Technical Program Manager, GFCO Analytics</t>
  </si>
  <si>
    <t>https://www.coinbase.com/careers/positions/8024877?gh_jid=8024877</t>
  </si>
  <si>
    <t>Ready to do the most impactful work of your career? At Coinbase , we are uncompromising on our mission to increase economic freedom. The bar is high, the environment is intense, and we like it that way. This isn't a place for complacency, it’s a place to be pushed past your perceived limits. If you're ready to build the future of finance alongside people who refuse to settle for "good enough," you belong here. Coinbase is a remote-first, but not remote-only company. Expect to get together quarterly for intense in-person working sessions called “surges.” learn more about working at Coinbase . As a Technical Program Manager on the GFCO Analytics Engineering team, you'll own the roadmap and execution for the data models, metrics, and dashboards that power Customer Experience and Compliance Operations at Coinbase. This team combines deep domain expertise in regulated operations with modern data engineering (Snowflake, Airflow, Superset/Looker, and AI tooling) to deliver trusted, self-serve data products that drive faster decisions and stronger customer outcomes. You'll distill requests from 15+ cross-functional teams, prioritize work based on impact and regulatory need, and create the operational leverage that lets analytics engineers focus on building rather than managing process. What You'll Do: Own the CX Analytics Engineering roadmap, distilling requests from Operations, Compliance, Risk, WFM, BizOps, and Product teams into a prioritized backlog scoped by impact, regulatory urgency, and team capacity Drive program execution across data model builds, pipeline development, dashboard delivery, and regulatory reporting workstreams, holding the team accountable to timelines and quality standards Build and automate project management processes, reducing operational overhead so analytics engineers spend more time building data products and less time on coordination Partner with CX Operations leadership, Compliance, and Data/Platform Engineering to resolve pipeline dependencies, align on shared data models, and ensure regulatory reporting accuracy Implement testing, monitoring, and documentation standards (data contracts, alerting, quality checks) that reduce ad-hoc firefighting and build stakeholder trust in CX data products Leverage AI-assisted workflows and tooling to compress speed-to-insight, automate reporting, and scale the team's impact without growing headcount linearly with business complexity Required Skills and Experience: 7+ years of experience in technical program management, with at least 3 years supporting data engineering, analytics, or data platform teams in a regulated environment (fintech, financial services, or crypto) Proven track record owning and prioritizing a technical roadmap across multiple concurrent workstreams, balancing competing stakeholder needs with engineering capacity and regulatory requirements Fluency with modern data stack components (e.g., Snowflake, Airflow, Looker/Superset, dbt) and the ability to engage technically on data modeling, pipeline architecture, and data quality frameworks Demonstrated ability to create operational leverage through process automation, tooling improvements, and structured program management that frees engineering teams to focus on high-value delivery Experience driving alignment across 10+ cross-functional stakeholders (Operations, Compliance, Risk, Product, Engineering) where ownership is distributed and trade-offs must be actively managed Utilizes generative AI responsibly, maintaining human oversight to deliver business-ready outputs and drive measurable improvements in workflow efficiency, cost, and quality. Pay Transparency Notice: Base salary varies by location (see range below). Total compensation may also include equity and bonus eligibility, and benefits (medical, dental, vision, 401(k)). Annual base salary range (excluding equity and bonus): $148,835 — $175,100 USD Application Limit: Candidates may submit a maximum of 3 applications within a 6-month period. Equal Opportunity Employer: Coinbase is an Equal Opportunity Employer. All qualified applicants will receive consideration for employment without regard to race, color, religion, sex, sexual orientation, gender identity, national origin, disability, protected veteran status, or genetic information. Applicants with criminal histories will be considered consistent with applicable federal, state, and local laws. US Applicants: View Employee Rights , Know Your Rights , and E-Verify Notice of Participation. Accommodations: If you are an individual with a disability who needs a reasonable accommodation, email us your request and contact info at accommodations[at]coinbase.com. Need screen reading technology? Click here to download a free compatible screen reader and view the tutorial . Data Privacy &amp; Arbitration: By submitting your application, you agree to our Candidate Privacy Notice . US applicants: By submitting your application, you agree to Arbitration of Disputes . AI Disclosure: Coinbase is piloting an AI tool based on machine learning technologies to conduct initial screening interviews to qualified applicants. The tool simulates realistic interview scenarios and engages in dynamic conversation. Coinbase is also piloting an AI interview intelligence platform to transcribe and summarize interview notes, allowing our interviewers to fully focus on you as the candidate. Coinbase will not use AI to make decisions impacting employment.</t>
  </si>
  <si>
    <t>greenhouse|anthropic|5198108008</t>
  </si>
  <si>
    <t>Anthropic</t>
  </si>
  <si>
    <t>anthropic</t>
  </si>
  <si>
    <t>5198108008</t>
  </si>
  <si>
    <t>Research Engineer, Machine Learning (RL Velocity)</t>
  </si>
  <si>
    <t>Remote-Friendly (Travel-Required) | San Francisco, CA | New York City, NY</t>
  </si>
  <si>
    <t>https://job-boards.greenhouse.io/anthropic/jobs/5198108008</t>
  </si>
  <si>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The RL Velocity team owns the efficiency and reliability of our RL Science stack - the infrastructure, tooling, and systems that let researchers iterate quickly on training runs. As a Research Engineer on the team, you'll build and improve the core platform that underpins how we do RL at Anthropic, removing bottlenecks that slow down research and making it easier for the broader org to ship better models faster. This is high-leverage work: small improvements to velocity compound across every researcher and every run. Responsibilities Build and improve the RL training infrastructure that researchers depend on day-to-day Identify and remove bottlenecks across the RL stack: debugging, profiling, and rearchitecting where needed Partner closely with researchers and with adjacent engineering teams (inference, sandboxing, and many more) to understand pain points and ship tooling that makes them faster Own the reliability and performance of research runs end-to-end Contribute to design decisions that shape how Anthropic does RL at scale You may be a good fit if you Have strong software engineering fundamentals and a track record of building performant, reliable systems Have worked on ML infrastructure, distributed systems, or research tooling Care about enabling other people's work and find leverage through platforms rather than individual experiments Are comfortable operating across the stack, from low-level performance work to RL algorithms Have a bias toward shipping and iterating quickly, with a mix of high agency and low ego Strong candidates may also have Experience with large-scale distributed training (RL, pre-training, or post-training) Familiarity with JAX, PyTorch, or similar ML frameworks A track record of operating at the edge of research and infra in a fast-moving environment Deadline to apply: None. Applications will be reviewed on a rolling basis. The annual compensation range for this role is listed below. For sales roles, the range provided is the role’s On Target Earnings ("OTE") range, meaning that the range includes both the sales commissions/sales bonuses target and annual base salary for the role. Annual Salary: $500,000 — $850,000 USD Logistics Minimum education: Bachelor’s degree or an equivalent combination of education, training, and/or experience Required field of study: A field relevant to the role as demonstrated through coursework, training, or professional experience Minimum years of experience: Years of experience required will correlate with the internal job level requirements for the position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Your safety matters to us. To protect yourself from potential scams, remember that Anthropic recruiters only contact you from @anthropic.com email addresses. In some cases, we may partner with vetted recruiting agencies who will identify themselves as working on behalf of Anthropic. Be cautious of emails from other domains. Legitimate Anthropic recruiters will never ask for money, fees, or banking information before your first day. If you're ever unsure about a communication, don't click any links—visit anthropic.com/careers directly for confirmed position openings.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Guidance on Candidates' AI Usage: Learn about our policy for using AI in our application process.</t>
  </si>
  <si>
    <t>greenhouse|intercom|8030046</t>
  </si>
  <si>
    <t>Intercom</t>
  </si>
  <si>
    <t>intercom</t>
  </si>
  <si>
    <t>8030046</t>
  </si>
  <si>
    <t>Director, Product Analytics</t>
  </si>
  <si>
    <t>Berlin, Germany; Dublin, Ireland; EMEA, Remote; London, England</t>
  </si>
  <si>
    <t>https://job-boards.greenhouse.io/intercom/jobs/8030046</t>
  </si>
  <si>
    <t>Fin is the AI Customer Agent company on a mission to help businesses provide perfect customer experiences. Our AI Agent Fin is the highest-performing AI Customer Agent on the market today, enabling businesses to deliver impeccable, always-on customer support across the customer journey – from service, to sales, to ecommerce. Powered by our own AI models, Fin resolves complex customer issues end-to-end across every channel, with minimal set-up and integration. Fin can also be combined with our natively integrated Intercom help desk for one single system that is designed to meet the needs of modern day support teams. Founded in 2011, Fin became one of the fastest growing companies and remains one of the largest private software companies in the world with nearly 30,000 global businesses using our products to transform their customer support. Driven by our core values, we push boundaries, build with speed and intensity, and relentlessly deliver incredible value to our customers. Product Data Science Leader, Fin What makes this role different This is not a classic experimentation-first product data science leadership role. Fin is a fast-moving, ambiguous, B2B AI-native product company. The role is less about owning a neat experimentation roadmap and more about helping shape direction in an environment where product bets are evolving quickly, the operating model is constantly changing, and decisions often need to be made before the data is complete. This person will not be successful if they wait to be asked for analysis. We need someone who creates momentum, brings clarity to messy problems, and helps leaders decide what matters, where to focus, and what should change. This is a highly consultative, influence-heavy leadership role. It sits at the intersection of product strategy, product analytics, customer outcomes, go-to-market signals, technical feasibility, and organizational design. Success depends on building trust and traction with product, engineering, design, research, sales, and executive stakeholders, often without relying on formal authority alone. The role is as much about shaping the system around product data science as it is about analytical depth. A major part of the job is creating the conditions for the function to be effective: improving how decisions get made, clarifying where data science should engage, helping define interfaces with adjacent functions, and ensuring insights actually influence outcomes. Vision for Product Data Science at Fin This role is not only about leading the current team well. It is also about helping define what product data science should become in an AI-native product organization. Fin is building zero-to-one products in an environment where the nature of the work is constantly shifting. As a result, the shape of product data science cannot be static or tied too closely to a traditional experimentation-and-dashboards model. We expect this leader to help define the future makeup of the function. That includes understanding where we need data scientists who are closer to engineers and builders, where we need people who operate more like researchers, and where deep statistical and analytical rigor should remain central. This person should bring a clear point of view on what an AI-native product data science function looks like, how AI should change the practice of analysis, and what capabilities, foundations, and operating model are required for the function to have the most impact over time. They should help define: the right capability mix for the team over time where foundations work belongs and how it should be prioritized how AI can increase leverage in analysis without lowering quality or rigor how product data science should evolve as Fin evolves. What this role is really about Bringing clarity to ambiguous product bets with data and insights Helping shape strategy in fast-moving B2B AI product areas Pushing for better decisions, not just better analysis Identifying product and performance gaps early; Influencing where the organization should act Creating traction for product data science where the model is still evolving Designing how product data science should work, not just delivering within the current setup Redirecting effort toward the highest-leverage problems Leading with judgment, influence, credibility, and conviction What you’ll do Help product and company leaders make better decisions on where Fin should focus Bring structure and judgment to ambiguous product, customer, and performance questions Identify what is and is not working in the product, and where intervention is most needed Shape early product direction, especially in zero-to-one and fast-evolving areas Define where product data science should engage deeply versus where lighter support is sufficient Define a vision for what product data science should look like in an AI-native product organization Shape how AI is used in analysis, insight generation, and decision support, while maintaining a high bar for rigor and judgment Improve visibility into product performance, opportunity size, and business impact Partner across product, engineering, design, research, sales, and leadership to connect product signals with customer and commercial outcomes Build trust with senior stakeholders and challenge weak logic or fuzzy thinking when needed Help design the operating model for product data science in Fin, including interfaces with analytics engineering, research, and go-to-market teams Ensure the function builds the right foundations for evaluating and improving zero-to-one AI products Coach and raise the bar for product data science work through prioritization, judgment, and leadership presence Ensure scarce data science capacity is focused on the most important problems, not just the loudest requests What we’re looking for Strong product data science leadership experience in complex product environments Track record of shaping strategy, not just supporting execution Comfort operating in ambiguity and making high-quality judgment calls with imperfect data Ability to influence senior stakeholders and challenge constructively when needed Strong analytical depth and technical skills A strong point of view on what product data science should look like in an AI-native company Experience evolving team shape and capability mix in response to changing product and organizational needs Ability to distinguish when the work calls for builder-type data scientists, research-oriented profiles, or deeper statistical specialization Strong judgment on how AI should and should not be used in analytical and data science work Excellent prioritization instincts and ability to identify high-leverage work Experience working across product, engineering, design, research, and commercial stakeholders Ability to translate across functions and connect product decisions to customer and business outcomes Strong leadership presence: credibility, judgment, communication, and follow-through Experience building or evolving operating models, team scope, or cross-functional ways of working Ideally, experience in AI-native, SaaS, or fast-moving B2B product contexts What success looks like Product and R&amp;D leaders actively rely on this person to shape priorities Data science is involved early enough to influence direction, not just validate decisions late Teams have a clearer view of product performance, opportunity size, and where intervention is needed Product data science effort is focused on the highest-leverage opportunities The interfaces between product data science and adjacent functions are clearer and more effective The function becomes embedded in how critical Fin decisions get made The overall quality of decision-making rises around the teams this person supports The team evolves toward the right mix of capabilities for an AI-native product environment AI is used to increase leverage in analysis and decision support without lowering rigor Why this role matters now Fin is operating in a space where product ships incredibly fast, decisions move quickly, ambiguity is high, and the organization needs stronger clarity on where product data science can have the most impact. We need a leader who can help shape the agenda, improve the system and operating model, and ensure product data science meaningfully changes outcomes. Benefits We are a well treated bunch, with awesome benefits! If there’s something important to you that’s not on this list, talk to us! Competitive salary and equity in a fast-growing start-up. We serve lunch every weekday, plus a variety of snack foods and a fully stocked kitchen. Regular compensation reviews - we reward great work! Pension scheme &amp; match up to 4%. Peace of mind with life assurance, as well as comprehensive health and dental insurance for you and your dependents. Flexible paid time off policy. Paid maternity leave, as well as 6 weeks paternity leave for fathers, to let you spend valuable time with your loved ones. If you’re cycling, we’ve got you covered on the Cycle-to-Work Scheme. With secure bike storage too. MacBooks are our standard, but we also offer Windows for certain roles when needed. #LI-Hybrid Policies Fin has a hybrid working policy. We believe that working in person helps us stay connected, collaborate easier and create a great culture while still providing flexibility to work from home. We expect employees to be in the office at least three days per week. We have a radically open and accepting culture at Fin. We avoid spending time on divisive subjects to foster a safe and cohesive work environment for everyone. As an organization, our policy is to not advocate on behalf of the company or our employees on any social or political topics out of our internal or external communications. We respect personal opinion and expression on these topics on personal social platforms on personal time, and do not challenge or confront anyone for their views on non-work related topics. Our goal is to focus on doing incredible work to achieve our goals and unite the company through our core values . Fin values diversity and is committed to a policy of Equal Employment Opportunity. Fin will not discriminate against an applicant or employee on the basis of race, color, religion, creed, national origin, ancestry, sex, gender, age, physical or mental disability, veteran or military status, genetic information, sexual orientation, gender identity, gender expression, marital status, or any other legally recognized protected basis under federal, state, or local law.</t>
  </si>
  <si>
    <t>greenhouse|hume ai|4816209008</t>
  </si>
  <si>
    <t>Hume AI</t>
  </si>
  <si>
    <t>humeai</t>
  </si>
  <si>
    <t>4816209008</t>
  </si>
  <si>
    <t>Senior Software Engineer - Backend &amp; Machine Learning</t>
  </si>
  <si>
    <t>New York, New York, United States</t>
  </si>
  <si>
    <t>https://job-boards.greenhouse.io/humeai/jobs/4816209008</t>
  </si>
  <si>
    <t>Hume AI is seeking a talented senior software engineer with experience in backend services and ML infrastructure who is interested in working with our team to build state-of-the-art audio models and evaluation tools. Join us in the heart of New York City and contribute to our endeavor to ensure that AI is guided by human values, the most pivotal challenge (and opportunity) of the 21st century. About Us Hume AI is a Series B startup dedicated to building artificial intelligence that is directly optimized for human well-being. As the first company to release speech language models, we’re focused on expanding our research to encompass audio understanding models and evaluation platforms for enterprises. Our goal is to enable a future in which technology draws on an understanding of human emotional expression to better serve human goals. As part of our mission, we also conduct groundbreaking scientific research, publish in leading scientific journals like Nature , and support a non-profit, The Hume Initiative, that has released the first concrete ethical guidelines for empathic AI ( www.thehumeinitiative.org ). You can learn more about us on our website ( https://hume.ai/ ) and read about us in WIRED , Forbes , and Venturebeat . About the Role We are looking for an experienced and motivated senior engineer with experience in backend services and ML infrastructure. In this role you will help us integrate cutting edge AI models into services and toolkits for researchers and developers. You will work closely with research scientists and other engineers to build new capabilities into the Hume platform, and you will have the opportunity to take part in a wide range of engineering initiatives across backend applications, cloud infrastructure, and the ML lifecycle, including evaluation and deployment at scale. Requirements Expertise in the Python ecosystem and popular ML libraries and tools (e.g. PyTorch, JAX, TensorFlow, XGBoost, sklearn, pandas, numpy). Experience building and deploying models for inference services. Experience writing backend services in multiple languages (e.g. Kotlin, Go, Rust, Java, C++). Understanding of core ML concepts including model architecture, training, and evaluation. Expertise working with storage and compute on a cloud platform (e.g.Google Cloud, AWS). Excellent communication and collaboration skills. Bonus Familiarity with data engineering principles and/or building large-scale data pipelines. Familiarity with building and deploying LLM-integrated products. Experience working at the intersection of machine learning research and engineering. Understanding of modern deployment strategies utilizing cloud technologies. (e.g. blue/green, canary deployments, etc). Experience using service deployment tooling (e.g. Kubernetes, Helm, Docker, Argo). Application Note Please apply only to the position that best aligns with your qualifications. If you submit multiple applications or have applied within the past 6 months, only your initial submission will be considered. Annual Salary $180,000 — $250,000 USD</t>
  </si>
  <si>
    <t>ashby|elevenlabs|e53c5be6-5c1a-4870-ad85-8397a1f201de</t>
  </si>
  <si>
    <t>ElevenLabs</t>
  </si>
  <si>
    <t>elevenlabs</t>
  </si>
  <si>
    <t>e53c5be6-5c1a-4870-ad85-8397a1f201de</t>
  </si>
  <si>
    <t>United Kingdom</t>
  </si>
  <si>
    <t>https://jobs.ashbyhq.com/elevenlabs/e53c5be6-5c1a-4870-ad85-8397a1f201de</t>
  </si>
  <si>
    <t>ABOUT ELEVENLABS
ElevenLabs is an AI research and product company transforming how we interact with technology.
We launched in January 2023 with the first human-like AI voice model. Today, we serve millions of users and thousands of businesses - from fast-growing startups to large enterprises like Deutsche Telekom and Meta. Our investors are some of the world's most prominent, including Andreessen Horowitz, ICONIQ Growth and Sequoia. We've raised $781M in funding and our last valuation was $11B - multiples of 11, always.
We have expanded from voice into three main platforms:
 - ElevenAgents enables businesses to deliver seamless and intelligent customer experiences, with the integrations, testing, monitoring, and reliability necessary to deploy voice and chat agents at scale.
 - ElevenCreative empowers creators and marketers to generate and edit speech, music, image, and video across 70+ languages.
 - ElevenAPI gives developers access to our leading AI audio foundational models.
Everything we do is the result of the creativity and commitment of our team - builders doing the best work of their lives. We are researchers, engineers, and operators. IOI medalists and ex-founders. If you want to work hard and create lasting positive impact, we want to hear from you.
HOW WE WORK
 - High-velocity: Rapid experimentation, lean autonomous teams, and minimal bureaucracy.
 - Impact not job titles: We don’t have job titles. Instead, it’s about the impact you have. No task is above or beneath you.
 - AI first: We use AI to move faster with higher-quality results. We do this across the whole company—from engineering to growth to operations.
 - Excellence everywhere: Everything we do should match the quality of our AI models.
 - Global team: We prioritize your talent, not your location.
WHAT WE OFFER
 - Innovative culture: You’ll be part of a generational opportunity to define the trajectory of AI, surrounded by a team pushing the boundaries of what’s possible.
 - Growth paths: Joining ElevenLabs means joining a dynamic team with countless opportunities to drive impact - beyond your immediate role and responsibilities.
 - Learning &amp; development: ElevenLabs proactively supports professional development through an annual discretionary stipend.
 - Social travel: We also provide an annual discretionary stipend to meet up with colleagues each year, however you choose.
 - Annual company offsite: Each year, we bring the entire team together in a new location - past offsites have included Croatia and Italy.
 - Co-working: If you’re not located near one of our main hubs, we offer a monthly co-working stipend.
ABOUT THE ROLE
We’re looking for an experienced Data Engineer to join our Growth team. You will build and scale our data pipelines, establish best practices, ensure data quality, and enable self-service data access across teams.
 - Own and streamline data pipelines from ingestion to delivery, ensuring they are reliable, scalable, and efficient.
 - Implement and maintain dbt best practices, data standards, and quality controls.
 - Build self-service tooling and write clear documentation to empower cross-functional teams (Engineering, Revenue Operations, Growth, and others) to independently meet their data needs.
 - Create AI agents to serve data questions for others
REQUIREMENTS
Demonstrated experience formalising and scaling data pipelines, ideally as one of the first or early data engineers on a growing team.
 - Expert knowledge of dbt (required).
 - Proficiency with tools across the modern data stack (Python, SQL, BI tools).
 - Structured thinking; ability to simplify complex, messy data into clear structures.
 - Strong ability to understand varied stakeholder requirements and build generalised solutions.
LOCATION
This role is remote and can be executed globally. If you prefer, you can work from our offices in London, Warsaw, New York, and San Francisco.
#LI-Remote</t>
  </si>
  <si>
    <t>ashby|deepgram|378e83b4-28c0-4b4e-8cf0-9355712bd06d</t>
  </si>
  <si>
    <t>Deepgram</t>
  </si>
  <si>
    <t>deepgram</t>
  </si>
  <si>
    <t>378e83b4-28c0-4b4e-8cf0-9355712bd06d</t>
  </si>
  <si>
    <t>Billing &amp; Analytics Software Engineer</t>
  </si>
  <si>
    <t>USA | Remote</t>
  </si>
  <si>
    <t>https://jobs.ashbyhq.com/deepgram/378e83b4-28c0-4b4e-8cf0-9355712bd06d</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</si>
  <si>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ABOUT THE ROLE
As a Billing &amp; Analytics Engineer on the Console &amp; Analytics team, you will own the systems that turn Deepgram’s raw API usage into accurate invoices, revenue-grade analytics, and the self-service billing experience our customers depend on. This is the financial backbone of a high-growth AI company: every dollar of revenue flows through the code you build and maintain.
You will design and operate the full billing pipeline—from usage event ingestion and metering through aggregation, rating, invoicing, and integration with third-party billing and CRM platforms. You’ll also own the analytics surfaces that give customers visibility into their consumption and give internal teams the data they need to operate the business. This role pulls billing and analytics engineering out of the broader Console team, creating a dedicated function that insulates and accelerates Deepgram’s product-led growth (PLG) effort.
WHAT YOU’LL DO
Usage Metering &amp; Event Processing: Design, build, and maintain the pipeline that ingests, validates, and processes usage messages from Deepgram’s inference and voice agent services. Ensure events are captured with sub-second reliability at scale, with idempotency and exactly-once semantics to guarantee billing accuracy.
Usage Aggregation &amp; Summarization: Build the aggregation layer that rolls raw usage events into usage summaries—by customer, product, time window, and pricing dimension. Optimize for query performance so that both real-time dashboards and end-of-period billing runs operate within SLA.
Billing System Integration: Own the integration with usage-based billing platforms (M3ter, Metronome, or equivalent). Implement rating, plan management, and invoice generation logic. Ensure billing data reconciles cleanly with usage records and that edge cases (overages, credits, mid-cycle plan changes, enterprise commitments) are handled correctly.
CRM &amp; RevOps Integration: Build and maintain integrations with Salesforce and RevOps tooling to synchronize customer accounts, contract terms, entitlements, and billing status. Partner with Finance and RevOps to ensure billing data supports revenue recognition, forecasting, and audit requirements.
Console Billing Experience: Develop the customer-facing billing and usage views within the Deepgram Console. Build clear, actionable dashboards that show real-time and historical usage, current spend, billing history, and plan details. Design the self-service flows for plan upgrades, payment method management, and invoice retrieval.
In-DC Access, Permissions &amp; Token Management: Own the billing-adjacent authorization surfaces: API key and token management, usage-based access controls, entitlement enforcement, and the permission model that gates feature access based on customer plan and billing status. Ensure these systems are secure, auditable, and performant.
Analytics &amp; Reporting: Build internal analytics pipelines and dashboards that surface usage trends, cohort behavior, conversion funnels, and revenue metrics to Product, Growth, and Finance teams. Instrument the billing system for operational observability—alerting on anomalies, reconciliation failures, and SLA breaches.
Data Integrity &amp; Reconciliation: Implement automated reconciliation between usage events, aggregated summaries, billing records, and payment processor data. Build alerting and self-healing mechanisms to catch and resolve discrepancies before they impact customers or revenue reporting.
WHAT WE’RE LOOKING FOR
 - 5+ years of experience building and operating billing, payments, metering, or financial data systems in a SaaS or usage-based pricing environment.
 - Strong backend engineering skills, preferably in Rust, and in at least one of: Python, TypeScript/Node.js, Go, or similar. Comfort working across the stack when needed.
 - Deep experience with relational databases (PostgreSQL, MySQL) and data pipeline design—schema modeling, query optimization, and high-volume event processing.
 - Hands-on experience integrating with billing or subscription platforms (e.g., Stripe, M3ter, Metronome, Chargebee, Zuora) and CRM systems (Salesforce).
 - Understanding of usage-based pricing models, metering patterns, and the edge cases that come with them (proration, overages, commitments, credits, multi-currency).
 - Experience building reconciliation and data integrity systems that ensure financial accuracy at scale.
 - Strong communication skills—you can partner effectively with Finance, RevOps, Product, and Growth teams to translate business requirements into reliable systems.
 - A security-conscious mindset, especially around authentication, token management, and access control.
NICE TO HAVE
 - Experience with usage-based billing platforms (M3ter, Metronome) specifically, or building custom metering systems from scratch.
 - Familiarity with product-led growth (PLG) patterns: self-serve signup, usage gating, upgrade flows, and conversion instrumentation.
 - Experience with event-driven architectures (Kafka, SQS, Pub/Sub) for high-throughput usage event processing.
 - Background in revenue operations, revenue recognition (ASC 606), or SOX-relevant billing controls.
 - Experience with analytics/BI tooling (Looker, Metabase, dbt) and building internal data products.
 - Prior work at a company where billing accuracy directly impacted customer trust and revenue at scale.
WHY THIS ROLE MATTERS
Deepgram’s growth is powered by a usage-based model where customers pay for what they consume. Every usage event, every invoice, every plan upgrade flows through the systems this role owns. As Billing &amp; Analytics Engineer, you’ll ensure that Deepgram gets paid accurately and on time, that customers have full visibility into their consumption, and that internal teams have the financial data they need to scale the business. By creating a dedicated billing engineering function, this role directly enables the Console and PLG teams to move faster on product innovation without billing complexity as a bottleneck.</t>
  </si>
  <si>
    <t>ashby|deepgram|9a030b32-d671-43e0-a221-4653bb73ba29</t>
  </si>
  <si>
    <t>9a030b32-d671-43e0-a221-4653bb73ba29</t>
  </si>
  <si>
    <t>Research Engineer, Machine Learning Systems</t>
  </si>
  <si>
    <t>https://jobs.ashbyhq.com/deepgram/9a030b32-d671-43e0-a221-4653bb73ba29</t>
  </si>
  <si>
    <t>COMPANY OVERVIEW
Deepgram is the leading platform underpinning the emerging trillion-dollar Voice AI economy, providing real-time APIs for speech-to-text (STT), text-to-speech (TTS), and building production-grade voice agents at scale. More than 200,000 developers and 1,300+ organizations build voice offerings that are ‘Powered by Deepgram’, including Twilio, Cloudflare, Sierra, Decagon, Vapi, Daily, Cresta, Granola, and Jack in the Box. Deepgram’s voice-native foundation models are accessed through cloud APIs or as self-hosted and on-premises software, with unmatched accuracy, low latency, and cost efficiency. Backed by a recent Series C led by leading global investors and strategic partners, Deepgram has processed over 50,000 years of audio and transcribed more than 1 trillion words. There is no organization in the world that understands voice better than Deepgram.
COMPANY OPERATING RHYTHM
At Deepgram, we expect an AI-first mindset—AI use and comfort aren’t optional, they’re core to how we operate, innovate, and measure performance.
Every team member who works at Deepgram is expected to actively use and experiment with advanced AI tools, and even build your own into your everyday work. We measure how effectively AI is applied to deliver results, and consistent, creative use of the latest AI capabilities is key to success here. Candidates should be comfortable adopting new models and modes quickly, integrating AI into their workflows, and continuously pushing the boundaries of what these technologies can do.
Additionally, we move at the pace of AI. Change is rapid, and you can expect your day-to-day work to evolve just as quickly. This may not be the right role if you’re not excited to experiment, adapt, think on your feet, and learn constantly, or if you’re seeking something highly prescriptive with a traditional 9-to-5.
THE OPPORTUNITY
Voice is the most natural modality for human interaction with machines. However, current sequence modeling paradigms based on jointly scaling model and data cannot deliver voice AI capable of universal human interaction. The challenges are rooted in fundamental data problems posed by audio: real-world audio data is scarce and enormously diverse, spanning a vast space of voices, speaking styles, and acoustic conditions. Even if billions of hours of audio were accessible, its inherent high dimensionality creates computational and storage costs that make training and deployment prohibitively expensive at world scale. We believe that entirely new paradigms for audio AI are needed to overcome these challenges and make voice interaction accessible to everyone.
THE ROLE
Deepgram is seeking a highly skilled and versatile Machine Learning Engineer to join our Research team. As a Member of the Research Staff, you will partner with research scientists to prototype and validate novel modeling ideas, then scale them through robust training systems for speech technologies, internal tooling, and innovative data strategies. You'll work at the intersection of machine learning, data infrastructure, and internal tooling to support our mission of building world-class speech recognition and synthesis systems. On the Research team, you will experiment with new technologies and techniques, while also working on product-focused deliverables, learning from colleagues with a wide range of expertise in AI and machine learning as you go.
KEY RESPONSIBILITIES
 - Scalable Model Training: Architect and manage horizontally scalable systems that dramatically accelerate the end-to-end training lifecycle for Speech-to-Text (STT) and Text-to-Speech (TTS) models. This includes far more than automated training: the role focuses on making model development significantly faster and more efficient through optimized data preparation and management, high-throughput training pipelines, distributed infrastructure, and automated evaluation tooling.
 - Tooling &amp; Accessibility: Design and implement internal UIs and tools that make ML systems and workflows accessible to non-technical stakeholders across the company. These UIs should be designed to provide transparency and flexibility to internally built tooling.
 - Infrastructure &amp; Tools: Oversee and manage training tooling, job orchestration, experiment tracking, and data storage.
THE CHALLENGE
We are seeking Members of the Research Staff who:
 - See "unsolved" problems as opportunities to pioneer entirely new approaches
 - Can identify the one critical experiment that will validate or kill an idea in days, not months
 - Have the vision to scale successful proofs-of-concept 100x
 - Are obsessed with using AI to automate and amplify your own impact
If you find yourself energized rather than daunted by these expectations—if you're already thinking about five ideas to try while reading this—you might be the researcher we need. This role demands obsession with the problems, creativity in approach, and relentless drive toward elegant, scalable solutions. The technical challenges are immense, but the potential impact is transformative.
IT'S IMPORTANT TO US THAT YOU HAVE
 - Strong experience with the machine learning research pipeline, particularly in STT or related speech domains. This includes experimenting with and evaluating new architectures and modeling approaches, and implementing large-scale training systems.
 - Proficiency with orchestration and infrastructure tools like Kubernetes, Docker, and Prefect.
 - Familiarity with ML lifecycle tools such as MLflow.
 - Experience building internal tools or dashboards for non-technical users.
 - Hands-on experience with data engineering practices for unstructured audio and text data.
 - Comfortable working in cross-functional teams that include researchers, engineers, and product stakeholders.
WHY JOIN DEEPGRAM?
At Deepgram, you’ll help shape the future of human–machine communication. Our research culture prioritizes ownership, experimentation, and real-world impact. As a Member of the Research Staff, you'll be empowered to build tools and systems that accelerate ML research and product deployment at scale.</t>
  </si>
  <si>
    <t>ashby|n8n|edd9e287-262e-4fcb-8aa5-2067e6526efa</t>
  </si>
  <si>
    <t>n8n</t>
  </si>
  <si>
    <t>edd9e287-262e-4fcb-8aa5-2067e6526efa</t>
  </si>
  <si>
    <t>Product Data Analyst</t>
  </si>
  <si>
    <t>Europe</t>
  </si>
  <si>
    <t>https://jobs.ashbyhq.com/n8n/edd9e287-262e-4fcb-8aa5-2067e6526efa</t>
  </si>
  <si>
    <t>The AI orchestration of your wildest imagination.
n8n is the open workflow orchestration platform built for the new era of AI. We give technical teams the freedom of code with the speed of no-code, so they can automate faster, smarter, and without limits. Backed by a fiercely inventive community and 500+ builder-approved integrations, we’re changing the way people bring systems together and scale ideas for impact.
Since our founding in 2019, we’ve grown into a diverse team of over 260 - working across Europe and the US, connected by a shared builder spirit and with our centre of gravity in Berlin. Along the way, we’ve:
 - Cultivated a community of more than 650,000 active developers and builders
 - Earned 190K+ GitHub stars, making us one of the world’s Top 40 most popular projects
 - Backed by top investors, from Sequoia’s first German seed to our SAP's recent strategic investment - bringing us to a $5.2bn valuation
That’s the company we’ve built. Now we’d love to see what you can build. If you’re applying, try n8n out - whether you’re technical or not - and share a screenshot of your first workflow with us. The easiest place to start is here: app.n8n.cloud/register http://app.n8n.cloud/register.
We’re in a defining moment of an incredible journey. Come and build with us.
Join n8n as the dedicated data partner to a product team that's already hands-on with data.
Our PMs are technical and data-literate. They write SQL, run their own analyses, and know their corner of the product deeply. What they're missing is a dedicated analyst counterpart - someone who takes the data work further than they have time for, brings the outside perspective they can't get from inside their squad, and pairs with them on designing and improving the product.
That's the role. You'll be embedded with a product squad as the PMs' dedicated data partner, working on the deeper analyses, the cross-cutting views, and the questions that shape what gets built - with activation and adoption of n8n as your headline focus.
🎯 Your mission: be the dedicated data partner that helps a hands-on product team go deeper, see further, and design better products.
🤝 BE THE PMS' DATA PARTNER
 - Our PMs already do their own analyses. You're the counterpart who takes the work deeper and broader than they can in a sprint.
 - Take on the analyses they don't have time for, accelerate the ones they're running, and pair on the questions that matter most.
 - Free PMs to focus on building product by being the dedicated owner of the data work that supports it.
🔭 BRING PERSPECTIVE THEY CAN'T GET THEMSELVES
 - Cross-product cuts, segment views, comparative analyses across the user base — the outside lens that's hard to see from inside a single squad.
 - Challenge assumptions, including the ones PMs are most attached to.
 - Surface the analyses nobody asked for but everyone needed.
🚀 HELP DESIGN AND IMPROVE THE PRODUCT
 - Co-create hypotheses with PMs and pair on how to test them properly.
 - Activation and adoption are the headline: how users get to value, what drives lasting use, where we're losing them, and what to build to fix it.
 - Go deep on retention drivers, cohort dynamics, and the leading indicators of expansion. Connect feature-level analyses back to the bigger picture.
🗣 INFLUENCE THE ROADMAP WITH A REAL POV
 - Sit in product planning as a peer. Bring strong, data-backed opinions about what we should build next — and what we shouldn't.
 - Push back constructively. Translate complex analysis into crisp recommendations that move decisions.
🧪 RAISE THE BAR ON RIGOR
 - Bring statistical depth where it matters and keep it out of the way when it doesn't.
 - Make experiments and analyses trustworthy — well-designed, properly powered, honestly read.
 - Partner with PMs and Engineering on event instrumentation so the data the team relies on is solid.
REQUIREMENTS
MUST-HAVES
 - 📊 Senior product analytics chops: 5+ years analyzing product usage in B2B SaaS, ideally in a PLG environment.
 - 🤝 Partner mindset: You thrive working alongside technical, hands-on PMs as a counterpart — making them better and being made better by them.
 - 🚀 Activation &amp; adoption expertise: You've owned the analysis behind onboarding funnels, time-to-value, feature adoption, and the behavioral signals that separate stuck users from successful ones.
 - 🔎 Depth, not just breadth: You're known for going deeper than the obvious — behavioral segmentation, retention drivers, feature impact done properly.
 - 🤓 Real applied statistics: Not "I took a stats class" — you can spot a biased metric, an underpowered test, or a confounder, and explain it clearly to a non-technical stakeholder.
 - 🧭 Opinionated and high-agency: You don't wait for tickets. You see what's worth analyzing, you do it, and you bring a clear recommendation — even when the team didn't ask.
 - 🧪 Solid experimentation skills: You can design and read A/B tests properly. It's one tool in your kit, not the only one.
 - 🔧 Instrumentation fluency: You've defined event taxonomies and partnered with engineering on tracking specs.
 - 💻 Technical toolkit: Expert SQL; comfort with modern stack (BigQuery, dbt, Metabase or equivalent).
 - 🗣️ Communication that lands: You write memos PMs read end-to-end and present findings that change decisions.
NICE-TO-HAVES
 - 👾 Devtool / OSS / technical product experience: You get how technical audiences adopt and use products.
 - 🐍 Python for analysis: pandas, statsmodels, scipy when SQL isn't enough.
 - 🔗 Causal inference: For the questions A/B testing can't answer.
 - 🧮 Experimentation platforms: GrowthBook, Statsig, Eppo, or similar.
WHY JOIN US?
At n8n, your work won't disappear into a slide deck. You'll pair with a technical, data-literate product team that already does its own analysis and genuinely values having a real analyst counterpart. You'll be embedded, trusted, and in the room where decisions get made — owning the questions that matter most for a fast-growing PLG product: how users activate, what drives adoption, and what keeps them coming back. You'll join a small, sharp data team with strong foundations already in place, inside one of Europe's fastest-growing open-source companies, at a moment where what we ship matters a lot.
Sound like a challenge you're ready to take on?
Apply now - and help us build the future of automation.
n8n is an equal opportunity employer and does not discriminate on the basis of race, religion, colour, national origin, gender, sexual orientation, gender identity, age, marital status, veteran status, or disability status.
We can sponsor visas to Germany; for any other country, you need to have existing right to work.
Our company language is English.
You care about diversity and inclusion? We do too! Check out our Diversity, Inclusion and Belonging initiatives at n8n https://www.notion.so/Diversity-inclusion-and-belonging-n8n-c1bec2fff536422d868b1a438d990e35?pvs=21 (https://www.notion.so/n8n/Diversity-inclusion-and-belonging-n8n-c1bec2fff536422d868b1a438d990e35).
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
 - Competitive compensation 💸 – We offer fair and attractive pay.
 - Ownership 💪 – Our core value is to “empower others,” and we mean it—you’ll get a slice of n8n with equity.
 - Work/life balance 🏖️ – We work hard but ensure you have time to recharge:
   - Europe: 30 days of vacation, plus public holidays wherever you are.
   - US: 20 vacation days, 8 sick days, plus public holidays wherever you are.
 - Health &amp; wellness 🩺 –
   - Europe: We provide benefits according to local country norms.*
   - US: Multiple low-premium, low-deductible medical plans with coverage for individuals and families—plus a no-cost premium HDHP option with a pre-seeded HSA—along with dental and vision coverage.
 - Future planning 💰 –
   - Europe: We provide pension contributions according to local country norms.*
   - US: 401(k) retirement plan with a 4% employer match.
 - Financial security 🛡️ –
   - Europe: We provide benefits according to local country norms.*
   - US: Company-paid short-term and long-term disability insurance, plus life insurance to support you and your loved ones.
 - Career growth 📈 – We hire rising stars who grow with us! You’ll get €1K (or equivalent) per year to spend on courses, books, events, or coaching to level up your skills.
 - A passionate team 🤩 – We love our product, and we prove it with regular hackathons where we see who can build the coolest thing with it!
 - Remote-first 🌏 – Our team works remotely across Europe, with regular off-sites for team bonding. Some roles, like sales in the US, are hybrid—please check the job description.
 - Giving back 🤝 – We're big fans of open source, and you'll get $100 per month to support projects you care about.
 - AI enablement 🤖 – We believe in working smarter—everyone gets an unlimited AI budget to explore and use the best tools to boost productivity and creativity.
 - Transparency 🙏 – We all know what everyone’s working on, how the company is doing—the whole shebang.
* Country-specific details are provided in your contract.</t>
  </si>
  <si>
    <t>greenhouse|boomi|5779584004</t>
  </si>
  <si>
    <t>Boomi</t>
  </si>
  <si>
    <t>boomilp</t>
  </si>
  <si>
    <t>5779584004</t>
  </si>
  <si>
    <t>Senior Data Engineer - Agentic AI Engineering</t>
  </si>
  <si>
    <t>United States of America</t>
  </si>
  <si>
    <t>https://boomi.com/boomi-jobs/?gh_jid=5779584004</t>
  </si>
  <si>
    <t>About Boomi and What Makes Us Special Are you ready to work at a fast-growing company where you can make a difference? Boomi, the data activation company for AI, powers the agentic enterprise by bringing data to life across the business. The award-winning Boomi Enterprise Platform is the active data foundation that delivers essential agentic infrastructure enabling organizations to drive agentic transformation and harness the power of AI with secure, scalable connectivity. Trusted by over 30,000 customers and supported by a network of 800+ partners, Boomi helps organisations of all sizes achieve agility, efficiency, and innovation at scale. At Boomi, you’ll work with world-class people and industry-leading technology. We hire trailblazers with an entrepreneurial spirit who can solve challenging problems, make a real impact, and want to be part of building something big. If this sounds like a good fit for you, check out boomi.com or visit our Boomi Careers page to learn more. How You’ll Make An Impact As a Data Engineer at Boomi, you will architect the "paved road" for our AI initiatives. You will transition our "Customer Zero" prototypes from experimental code into robust, secure, and observable. You will be the bridge between cutting-edge AI research and enterprise-grade reliability, enabling the entire engineering organization to ship intelligent features faster and safer. We are seeking a highly skilled Data Engineer to join our Agentic AI Engineering Team. This role focuses on building and operating scalable, high-quality data infrastructure that powers agentic AI systems, including LLM-based agents, multi-agent workflows, and tool-using AI systems. You will play a critical role in enabling data-driven training, evaluation, memory, observability, and continuous improvement of intelligent agents. What You Will Do Architect and build scalable, secure, and observable data infrastructure to power LLM-based agents, multi-agent systems, and tool-using AI workflows. Design and operate robust batch and real-time data pipelines supporting embeddings, RAG systems, and agent memory frameworks. Develop and manage vector database solutions to enable low-latency retrieval and contextual intelligence for AI applications. Build data frameworks for training, evaluation, benchmarking, and continuous improvement of agentic AI systems. Implement strong data governance, quality controls, lineage tracking, and PII/security compliance across AI data platforms. Collaborate with AI/ML, platform, and DevOps teams to productionize experimental AI prototypes into enterprise-grade solutions. Optimize data systems for performance, scalability, reliability, and cost efficiency across cloud environments (AWS, Azure, or GCP). The Experience You Bring 5+ years of experience building and operating large-scale data platforms as a Data Engineer. Strong programming expertise in Python and SQL for developing scalable and efficient data solutions. Hands-on experience designing batch and real-time data pipelines, including streaming systems like Kafka or Kinesis. Experience with modern data platforms and cloud environments (AWS, Azure, or GCP), including tools like Snowflake. Strong understanding of LLM/AI data workflows, including embeddings, RAG pipelines, evaluation datasets, and vector databases (Pinecone, Milvus ). Experience with DataOps/MLOps tools such as Airflow, dbt, Lavender, and MLflow for orchestration and lifecycle management. Strong knowledge of data quality, governance, and security, including PII handling, access controls, lineage, and ensuring data reliability. Bonus Points If You Have Experience supporting agentic AI systems, multi-agent architectures, or tool-using AI agents. Familiarity with agent memory models, conversation histories, and reasoning trace storage. Experience with synthetic data generation and simulation frameworks. Exposure to prompt engineering workflows and prompt/version management. Experience optimizing data systems for low-latency AI workloads. Aren’t sure if you’re a match? We know that impostor syndrome and the confidence gap can prevent us from meeting spectacular candidates — so don’t hesitate to apply; you could be the perfect fit! Location Conshohocken, PA or Denver, CO (Preferred) Or US Remote Compensation and Benefits Boomi is committed to fair and equitable compensation practices. Base compensation for this position in our corporate headquarters in Conshohocken, PA ranges from $138,862 - $173,578. This position is remote-friendly and, as such, final compensation will be determined by various factors including the candidate’s knowledge, skills, experience, and geographic location. An overview of our benefits can be found here . #LI-ES1 Be Bold. Be You. Be Boomi. We take pride in our culture and core values and are committed to being a place where everyone can be their true, authentic self. Our team members are our most valuable resources, and we look for and encourage diversity in backgrounds, thoughts, life experiences, knowledge, and capabilities. All employment decisions are based on business needs, job requirements, and individual qualifications. Boomi strives to create an inclusive and accessible environment for candidates and employees. If you need accommodation during the application or interview process, please submit a request to talent@boomi.com . This inbox is strictly for accommodations, please do not send resumes or general inquiries.</t>
  </si>
  <si>
    <t>ashby|cohere|3136a5a5-06fd-4c82-8b72-a43467e6b128</t>
  </si>
  <si>
    <t>Cohere</t>
  </si>
  <si>
    <t>cohere</t>
  </si>
  <si>
    <t>3136a5a5-06fd-4c82-8b72-a43467e6b128</t>
  </si>
  <si>
    <t>Member of Technical Staff, Modeling</t>
  </si>
  <si>
    <t>London</t>
  </si>
  <si>
    <t>https://jobs.ashbyhq.com/cohere/3136a5a5-06fd-4c82-8b72-a43467e6b128</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</si>
  <si>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Please note that this is not a live role. We are grateful for your enthusiasm and interest in Cohere and encourage you to submit your resume for future consideration. Should a suitable position become available, we will review your application and reach out to discuss potential opportunities.
Why this role?
Design and implement novel research ideas, ship state of the art models to production, and maintain deep connections to academia. We have one of the highest ratio of compute to engineers in the world. We do not delineate strongly between engineering and research. Everyone will contribute to writing production code and conducting research depending on individual interest and organizational needs. We have all the compute, data, and talent available for you to do your best work.
Please Note: We have offices in Toronto, London, Paris, San Francisco and New York but also embrace being remote-friendly! There are no restrictions on where you can be located for this role.
As a Member of Technical Staff, you will:
 - Design, build and scale AI systems for serving our users.
 - Research, implement, and experiment with ideas on our supercompute and data infrastructure.
 - Learn from and work with the best researchers in the field.
You may be a good fit if you have:
 - Extremely strong software engineering skills.
 - Proficiency in Python and related ML frameworks such as Tensorflow, TF-Serving, JAX, and XLA/MLIR.
 - Experience writing kernels for GPUs using CUDA.
 - Experience using large-scale distributed training strategies.
 - Familiarity with autoregressive sequence models, such as Transformers.
 - Bonus: paper at top-tier venues (such as NeurIPS, ICML, ICLR, AIStats, MLSys, JMLR, AAAI, Nature, COLING, ACL, EMNLP).
* This is neither an exhaustive nor necessary set of attributes. Even if none of these apply to you, but you believe you will contribute to Cohere, please reach out. We have a wide variety of backgrounds at Cohere.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</si>
  <si>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ashby|cohere|39cab400-c976-41d9-9002-880ac6985b64</t>
  </si>
  <si>
    <t>39cab400-c976-41d9-9002-880ac6985b64</t>
  </si>
  <si>
    <t>Lead Data Scientist</t>
  </si>
  <si>
    <t>https://jobs.ashbyhq.com/cohere/39cab400-c976-41d9-9002-880ac6985b64</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</si>
  <si>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We're building the foundational infrastructure that will define how the world thinks about and deploys AI, and we want the sharpest, most curious people to help us do it. As a Lead Data Scientist on our Analytics and Data Insights team, you'll tackle problems that don't have textbook answers yet; shaping go-to-market strategy for technology that's still being invented, designing the experiments that prove or kill our biggest bets, and helping enterprises understand what foundational AI actually means for their bottom line. You'll own the full analytical lifecycle, from framing the right questions and building the models, to leading a team that delivers answers leadership can act on.
As a Lead Data Scientist, you will:
 - Drive the mission forward.
 - Own the science: design and lead experimentation programs including A/B tests, multi-armed bandits, causal inference studies, that directly map to product and go-to-market decisions.
 - Build predictive models that matter: develop and deploy models for forecasting, segmentation, propensity scoring, and opportunity sizing across Cohere's core business lines.
 - Lead and grow a team: manage a team of analysts and data scientists. Set the technical bar, mentor aggressively, and create an environment where exceptional people do their best work.
 - Act like an owner: no waiting around. You'll define analytical priorities, allocate resources, and push initiatives from question to production.
 - Shape strategy: partner across product, research, sales, and finance to define how Cohere grows. Your team's work will get built into products and implemented into strategy.
You may be a good fit, if you have:
 - Strong command of SQL, Python, and Git, alongside deep expertise in statistical inference, experimental design, and predictive modeling
 - A proven ability to turn ambiguous business questions into rigorous analytical problems, with clear and compelling recommendations to match
 - Experience leading analytics or data science teams, with a track record of making smart people faster
 - Familiarity with modern data stack tools such as BigQuery, dbt, Looker, or Airflow (nice to have, not essential)
 - Genuine excitement about AI - you follow the research, have opinions, and enjoy being in the weeds
 - Comfort operating in ambiguity, managing complex multi-workstream roadmaps, and distilling insights into a concise, actionable narrative
 - A leadership style grounded in empathy as much as in data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</si>
  <si>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ashby|cohere|36d1f52f-8270-4652-adf5-5303a0ff341b</t>
  </si>
  <si>
    <t>36d1f52f-8270-4652-adf5-5303a0ff341b</t>
  </si>
  <si>
    <t>Machine Learning Intern/Co-op  (Fall, 2026)</t>
  </si>
  <si>
    <t>Canada</t>
  </si>
  <si>
    <t>https://jobs.ashbyhq.com/cohere/36d1f52f-8270-4652-adf5-5303a0ff341b</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</si>
  <si>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Ship state of the art models to production.
Design and implement novel research ideas.
Build elegant training/deployment pipelines.
Join us at a pivotal moment, shape what we build and wear multiple hats as an intern!
Our recruitment process will begin in the upcoming weeks, and we will be carefully reviewing applications and assessing potential candidates for our internships. Should we find a suitable match with your qualifications and our requirements, we will be in touch to discuss the opportunity further and to advance your application to the next stage
Please Note: To be eligible for this position you should be a student currently enrolled in a post-secondary program, available for a full-time 3-6 month internship, co-op, or research work term.
As a Machine Learning Intern, you will:
 - Design, train and improve upon cutting-edge models.
 - Help us develop new techniques to train and serve models safer, better, and faster.
 - Train extremely large-scale models on massive datasets.
 - Explore continual and active learning strategies for streaming data.
 - Learn from experienced senior machine learning technical staff.
 - Work closely with product teams to develop solutions.
You may be a good fit if you have:
 - Proficiency in Python and related ML frameworks such as Tensorflow, TF-Serving, JAX, and XLA/MLIR.
 - Experience using large-scale distributed training strategies.
 - Familiarity with autoregressive sequence models, such as Transformers.
 - Strong communication and problem-solving skills.
 - A demonstrated passion for applied NLP models and products.
 - Bonus: experience writing kernels for GPUs using CUDA.
 - Bonus: experience training on TPUs.
 - Bonus: papers at top-tier venues (such as NeurIPS, ICML, ICLR, AIStats, MLSys, JMLR, AAAI, Nature, COLING, ACL, EMNLP).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</si>
  <si>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ashby|cohere|582c4a60-14a2-49d5-b4d3-24c4ec50508d</t>
  </si>
  <si>
    <t>582c4a60-14a2-49d5-b4d3-24c4ec50508d</t>
  </si>
  <si>
    <t>Senior Technical Program Manager, Machine Learning Infrastructure</t>
  </si>
  <si>
    <t>https://jobs.ashbyhq.com/cohere/582c4a60-14a2-49d5-b4d3-24c4ec50508d</t>
  </si>
  <si>
    <t>Who are we?
Cohere is the leading security-first enterprise AI company. We build cutting-edge foundation AI models and end-to-end products that are designed to solve real-world business problems.
We’re training and deploying frontier models for enterprises who are building AI systems. We believe that our work is instrumental to the widespread adoption of AI and we are looking for folks that want to be part of that.
We obsess over what we build. Each one of us is responsible for contributing to increasing the capabilities of our models and the value they drive for our customers. Cohere is a team of researchers, engineers, designers, and more, who are all passionate about their craft.
We are a global technology company co-headquartered in Toronto and San Francisco, with key offices in London, New York City, Montreal, Seoul, Germany and Paris. Join us!
WHY THIS ROLE?
As Cohere continues to grow, the size and complexity of our programs has continued increasing over time. To help us manage this, we are looking to bring in exceptional Technical Program Managers (TPM) to manage this!
At Cohere, TPMs are pivotal to our success, being seen as operational experts specializing in cross-functional efforts. Great TPMs at Cohere are well-rounded, executing with precision at the tactical level, while partnering with senior leaders and shaping the big picture at a strategic level, and the opportunities are endless in growing the scale and impact of their work. Cohere’s TPMs are often described by their stakeholders as organized, execution-oriented, pragmatic, and adaptable to the needs of the company and the programs they lead.
As a reward for the depth and breadth of expertize that you bring to the table, you will get to work alongside some of the most talented engineers in the world on building cutting edge AI technology. No day will be the same as the one before, and the dynamic high growth environment will be absolutely perfect for anyone excited about solving novel problems, bringing structure to oftentimes chaotic and fast-paced environments, and ambitious about scaling their own impact and growth alongside the company!
Please note: While we are remote-first and accept candidates from all over the world, we are strongly prioritizing hiring for candidates in the Eastern Time (ET) timezone.
AS A TECHNICAL PROGRAM MANAGER FOR MACHINE LEARNING INFRASTRUCTURE, YOU WILL:
 - Manage the program portfolio covering inference, efficiency, serving, and endpoints to guarantee that Cohere’s infrastructure continues to scale for a rapidly expanding user base of internal and external users
 - Lead the end-to-end coordination and execution across the program, with a particular focus on cross-functional collaboration with Modeling and customer-facing teams
 - Identify pain points and establish processes to ensure that the team can focus on development, while meeting needs of internal and external users of the models, and improving engineering best practices
 - Build a strong culture around continuous improvement, such as liaising with incident management leads, ensuring that problems are accurately root caused, and that required fixes are provided in a timely manner
 - Manage various overlapping projects and programs, ruthlessly prioritizing asks, to ensure that the company’s top priorities are met
 - Collaborate with stakeholders across the company to set, track, and manage timelines, deliverables, budgets, and scope to ensure successful program execution
 - Deliver clear, timely, and consistent updates across engineering, leadership, and non–technical teams on the progress, plans, and incidents
 - Act as a strong tactical and strategic partner to the senior leads across your program, whether that be providing low-level tactical support or help answer high-level strategic problems that drives impact at the company-level.
YOU MAY BE A GOOD FIT IF YOU HAVE:
 - 5+ years of Technical Program Management experience focusing on Machine Learning Infrastructure, specifically covering areas such as model inference, serving, efficiency, and endpoints design &amp; implementation
 - In-depth technical knowledge around ML infrastructure design and implementation, as well as engineering best practices, supporting a balance of velocity and structure in rapidly growing organizations
 - Experience working in a chaotic, fast paced, low structure environment. We need an EPM who is pragmatic, can roll up their sleeves when needed, and can function at the tactical and strategic level to do whatever it takes to make Cohere’s models succeed
 - (optional, but strongly preferred) Have technical experience in a hands-on capacity. We don’t necessarily need someone who has been working hands-on in a technical role, but the programs are inherently extremely technical. You need to dive into the depths of internal systems, and develop a reputation as a subject matter expert who brings in engineering best practices and the right amount of structure to continuously improve the program
 - (optional, but preferred) Experience working with ML teams, and a working understanding of how machine learning models are built in order to advocate for both the needs of the infrastructure teams and modeling teams in building scalable, highly performant ML infrastructure.
If some of the above - other than the ML Infrastructure experience - doesn’t line up perfectly with your experience, we still encourage you to apply! If you consider yourself a thoughtful worker, a lifelong learner, and a kind and playful team member, Cohere is the place for you.
We welcome applicants of all kinds and are committed to providing both an equal opportunity process and work environment. We value and celebrate diversity and strive to create an inclusive work environment for all.
FULL-TIME EMPLOYEES AT COHERE ENJOY THESE PERKS:
 - A weekly lunch stipend of $75/£75 or equivalent in your local currency for lunch.
 - Full health and dental benefits, including a separate budget for mental health.
 - RRSP matching, 401K, Pension Scheme.
 - 100% Parental Leave top-up for up to 6 months, for either parent.
 - Annual enrichment benefits:
   Arts &amp; culture, fitness/wellness, quality time, and a workspace improvement credit.
   Education &amp; learning stipend for conferences, courses, and coaching.
 - 6 weeks of paid vacation (30 working days!)
 - Budget for traveling to other offices if you are remote, plus an annual company offsite.
HOW AND WHERE WE WORK:
 - Cohere is remote-friendly. We have offices in Toronto, San Francisco, New York City, London, Paris, Montreal, and more coming soon.
 - For those in the office: a daily lunch program, plenty of snacks, and regular community and social events.
 - For those not near an office: a co-working benefit so you can work alongside others in your city.
 - Everyone receives a $500 home office stipend to set up your workspace properly.
If any of the above doesn’t line up exactly with your experience, we still encourage you to apply.
We strive to create an inclusive work environment for all; we welcome applicants from all backgrounds and are committed to providing equal opportunities. Should you require any accommodations during the recruitment process, please submit an Accommodations Request Form https://docs.google.com/forms/d/12a6IrLdF3kI2nonKSr4tiFuz18rLQbaeYV-JM9L4o9Q/edit, and we will work together to meet your needs.
We may use AI-enabled tools to screen and assess applicants against the criteria for this position. This helps our recruiters identify potentially qualified candidates, but it doesn't limit the applications our recruiters may review or consider.</t>
  </si>
  <si>
    <t>greenhouse|celonis|7725788003</t>
  </si>
  <si>
    <t>Celonis</t>
  </si>
  <si>
    <t>celonis</t>
  </si>
  <si>
    <t>7725788003</t>
  </si>
  <si>
    <t>Associate Value Engineer (AI-Driven Data Science &amp; Analytics) - Orbit Program</t>
  </si>
  <si>
    <t>New York, US, New York</t>
  </si>
  <si>
    <t>https://job-boards.greenhouse.io/celonis/jobs/7725788003?gh_jid=7725788003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</si>
  <si>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The Orbit Program is structured into classes and cohorts , with start dates organized twice a year. You'll likely join a cohort with a summer start date (June/July) or a winter start date (January/February) , allowing you to grow and develop alongside your cohort peers.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Business, Engineering, Data Analytics, Economics,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Industrial Engineering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The base salary range below is for the role in the specified location, based on a Full Time Schedule. Total compensation package will include base salary + bonus/commission + equity + benefits (health, dental, life, 401k, and paid time off). Please note that the base salary range is a guideline, and that the actual total compensation offer will be determined based on various factors, including, but not limited to, applicant's qualifications, skills, experiences, and location. The base salary range below is for the role in New York, based on a Full Time Schedule. $90,000 — $95,000 USD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</si>
  <si>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greenhouse|celonis|7781716003</t>
  </si>
  <si>
    <t>7781716003</t>
  </si>
  <si>
    <t>Raleigh, US, North Carolina</t>
  </si>
  <si>
    <t>https://job-boards.greenhouse.io/celonis/jobs/7781716003?gh_jid=7781716003</t>
  </si>
  <si>
    <t>Celonis is the global leader in Process Intelligence and the pioneer of Process Mining technology. As one of the world’s fastest-growing enterprise SaaS companies, we are changemakers pushing the boundaries of what’s possible. We invest heavily in advanced AI capabilities—specifically our Process Intelligence Graph—to turn data insights into immediate business action. We believe there is a massive opportunity to unlock global productivity and sustainability by placing intelligence at the core of every business process. Join our mission to make processes work for people, companies, and the planet. The Team: Global Value Engineering Center of Excellence Become an integral part of our international, diverse, and dynamic Global Value Engineering Center of Excellence. Our Value Engineers are trusted advisors who operate at the intersection of technology and business , partnering with sales and customers to develop compelling Celonis-powered solutions and prototypes that address critical business challenges. We foster a fast-paced, collaborative environment built on trust, continuous learning, and mutual growth through coaching and mentorship. The Role: Launch Your Enterprise Software Career Kickstart your career in enterprise software through our immersive 12-month Orbit Program . This program offers a unique blend of client engagements, dedicated mentorship, and a strong team culture where collaboration and shared success are paramount. You'll leverage your technical background to develop essential Value Engineering skills, build lasting client relationships, and establish yourself as a trusted advisor, paving the way for significant career growth within Celonis. Your journey begins with comprehensive onboarding and enablement, followed by hands-on experience in customer engagements and targeted training. You will gain expertise in: Building and coding within the Celonis platform (SQL and PQL) Scoping business and technical requirements Effectively handling objections Developing industry domain knowledge Delivering impactful presentations and demos Understanding value selling and realization Managing customer accounts What You'll Do: Consult with customers using systems analysis to identify core business challenges and determine how Celonis can drive impactful solutions. Present the Celonis AI value proposition and vision to customers and align our solutions with their AI strategy. Prototype and develop AI solutions tailored to customer needs, including both traditional machine learning and LLM-based solutions . Execute proof projects showcasing the value of Celonis Process Intelligence in the context of our customers’ strategy, business initiatives, and challenges Develop and modify Celonis data models using SQL and analyses using PQL (Celonis proprietary language) to create compelling prototypes that address customer pain points. Lead proof-of-concept projects within the Celonis platform to demonstrate tangible value aligned with customer strategies and needs. Collaborate with customers and partners to design and build Celonis solutions that ensure a positive return on investment. Establish strong, trusted advisor relationships with customers through your technical expertise, product knowledge, and business acumen. Articulate and quantify strategic business value for customers, delivering impactful presentations to senior executives. Partner with the implementation services team to ensure successful value realization for customers. Identify opportunities for innovation and collaborate with Product &amp; Engineering teams to influence future product development. Contribute to the Global Value Engineering Center of Excellence by creating reusable collateral, best practices, and tools. What You Need: Bachelor’s degree in Engineering, Data Analytics, Industrial Engineering, Computer Science, Mathematics , or a related STEM field. Extensive internship experience or 1-3 years of full-time work experience. Hands-on experience with at least one of the following: SQL, Microsoft Power BI, Tableau, or another data analytics solution. A strong passion for technology, big data, and its transformative potential. Excellent analytical and creative problem-solving skills , with the ability to apply technology to business challenges. A customer-centric mindset with a focus on delivering value. The ability to build relationships with senior management and influence decision-making. Confidence in presenting to diverse audiences. A proactive approach to problem-solving, with a willingness to learn from mistakes. Curiosity, self-motivation, a commitment to continuous learning, and the desire to thrive in a fast-paced, high-growth environment. Strong organizational skills with the ability to prioritize and execute on deadlines. Excellent communication skills and fluency in English. Bonus Points: GPA of 3.6 or higher. Degree in Computer Science or Data Science or a similar field. Degrees combining technical (e.g., Computer Science, Data Science) and business (e.g., Economics, Marketing) skills. Experience with Python and Machine Learning. Customer-facing , customer success/service, or sales experience. Experience with Proof of Concept projects. Supply Chain process experience (Procurement, Order Management, Inventory Management, Production). Finance process experience (Accounts Payable, Accounts Receivable). Experience modeling ROI and TCO for business case justification. Experience with SAP and/or Oracle. Fluency in French and/or Spanish. Visa sponsorship is not offered for this role. What Celonis can offer you: Pioneer Innovation: Work with the global leader in Process Mining and the Process Intelligence Graph to shape the future of AI-driven business operations. Ownership from Day 1: Every full-time "Celonaut" is an owner, receiving Restricted Stock Units (RSUs) and merit-based refresh grants. Unrivaled Family Support: Benefit from our inclusive parental leave policy—24 weeks of fully paid leave for primary carers and 12 weeks for supporting carers, available from your first day of employment. Work-Life Integration: Enjoy Unlimited PTO (in applicable regions) and generous PTO globally, as well as a flexible hybrid work model that balances remote focus with vibrant office collaboration. Continuous Growth: Elevate your skills through our 70-20-10 learning framework, mentorship programs, and access to a dedicated learning platform. Holistic Well-being: Prioritize your health with subsidized Wellhub memberships, mental health counseling, and dedicated "Wellness Weeks" that prioritize work/life balance. Drive Sustainability: Participate in annual Impact Days, where you receive paid time off to volunteer for community and environmental causes with your local office, or virtually. Global Inclusion &amp; Belonging: Find community through our Inclusion Think Tank and participate in our annual Inclusion Days, ensuring every voice is heard and valued. Value-Driven Impact: Join a mission-led organization where our core values—Live for Customer Value, The Best Team Wins, We Own It, and Earth Is Our Future—drive every decision. About Us: Celonis makes processes work — for people, companies, and the planet. Powered by process mining and AI, the Celonis Process Intelligence Platform integrates process data and business context to create a living digital twin of business operations. We enable thousands of companies worldwide to understand how their business actually runs and, together with their partners, build intelligent solutions that transform and continuously improve the way they operate — unlocking billions in value. Celonis is headquartered in Munich, Germany, and New York City, USA, with more than 20 offices worldwide. Get familiar with the Celonis Process Intelligence Platform by watching this video . Celonis Inclusion Statement: At Celonis, we believe our people make us who we are and that “The Best Team Wins”. We know that the best teams are made up of people who bring different perspectives to the table. And when everyone feels included, able to speak up and knows their voice is heard - that's when creativity and innovation happen. Your Privacy: Any information you submit to Celonis as part of your application will be processed in accordance with Celonis’ Accessibility and Candidate Notices By submitting this application, you confirm that you agree to the storing and processing of your personal data by Celonis as described in our Privacy Notice for the Application and Hiring Process . Please be aware of common job offer scams, impersonators and frauds. Learn more here .</t>
  </si>
  <si>
    <t>greenhouse|contentful|7560356</t>
  </si>
  <si>
    <t>Contentful</t>
  </si>
  <si>
    <t>contentful</t>
  </si>
  <si>
    <t>7560356</t>
  </si>
  <si>
    <t>Senior Business Intelligence Analyst</t>
  </si>
  <si>
    <t>Denver, Colorado, United States</t>
  </si>
  <si>
    <t>https://job-boards.greenhouse.io/contentful/jobs/7560356</t>
  </si>
  <si>
    <t>About the opportunity Contentful is seeking a Senior Business intelligence Analyst to join our growing Field organization. In this highly visible and impactful role, you will serve as the analytics thought leader for our Field Organization , transforming data into actionable insight that drives growth, improves efficiency, and enables strategic decision-making. You’ll work closely with field leadership, revenue operations, marketing, product and finance to uncover opportunities that accelerate pipeline generation, improve conversion rates, and optimize field performance. As a key business partner, you’ll help shape go-to-market strategy through data-informed recommendations and forward-looking analysis. This role sits within the Field organization but partners closely with our central Data team - leveraging Contentful’s Insight360 platform to ensure the field organization has trusted, timely, and actionable data. You’ll interrogate data, experiment, build dashboards and models, and guide leadership with fact-based storytelling that drives meaningful business outcomes. If you’re a hands-on analytics expert with a passion for solving commercial challenges through data, this is an opportunity to make a tangible impact on the growth and success of Contentful. What to expect? Partner with Field leadership to define, measure, and monitor key performance metrics across pipeline health, bookings, productivity, and retention. Deliver high-quality insights and analysis that guide tactical and strategic decisions, supporting both day-to-day operations and long-term growth initiatives. Build and maintain dashboards, reports, and models that provide real-time visibility into field performance using Contentful’s Insight360 platform and modern BI tools. Collaborate with the central Data team to ensure data integrity, develop new data capabilities, and define requirements for future enhancements to the data platform. Act as Data Steward for the Field organisation to help drive data capture improvements, define key metrics and attributes as well as ensure strong data hygiene for field owned data. Conduct deep-dive analyses on key topics such as funnel conversion, territory design, forecasting accuracy, and field capacity planning. Partner with Marketing, Customer Success, Product and Finance to create a holistic view of the customer lifecycle , connecting data across the revenue funnel. Translate complex data into clear, compelling narratives and visualizations for field leaders and executives. Act as a trusted advisor to field leadership , driving data-informed strategy, identifying improvement opportunities, and recommending operational efficiencies. Foster a culture of data-driven decision-making within the Field organization by promoting data fluency and self-service analytics. What do you need to be successful? Field leadership makes faster, more confident decisions using trusted, actionable insights. Insight360 and supporting dashboards become the single source of truth for Field performance and forecasting. The Field organization proactively uses data to identify growth opportunities, optimize resources, and exceed revenue targets . Cross-functional collaboration with the Data team ensures alignment between sales and CS needs and enterprise data strategy . You are recognized as a go-to strategic partner who blends analytical rigor with commercial acumen. What's in it for you? Join an ambitious tech company reshaping the way people build digital experiences Full-time employees receive Stock Options for the opportunity to share in the success of our company Comprehensive healthcare package covering 100% of monthly health premiums for employees and 85% of costs for your dependents. Fertility and family building benefits, including a lifetime reimbursable wallet to support your growing family. We value Work-Life balance and You Time ! A generous amount of paid time off, including vacation days, sick days, compassion days for loss, education days, and volunteer days Company paid parental leave to care for and focus on your growing family Use your personal annual education budget to improve your skills and grow in your career Enjoy a full range of virtual and in-person events, including workshops, guest speakers, and fun team activities, supporting learning and networking exchange beyond the usual work duties An annual wellbeing stipend to care for your physical, financial, or emotional health A monthly communication stipend and phone hardware upgrade reimbursement. New hire office equipment stipend for hybrid or distributed employees. Get the gear you need to work at your best. This role will need to be conducted in a state in which we are currently registered to do business. In addition, this position is not eligible for visa sponsorship. Applicants must be authorized to work without the need for visa sponsorship by the start date of employment. This position is eligible for equity awards in accordance with the terms of Contentful’s equity plans. The application deadline is 05/21/2026 Colorado Salary Statement: The salary range displayed is specifically for those potential hires who will work or reside in the state of Colorado if selected for the role. Any offered salary is determined based on internal equity, internal salary ranges, market data/ranges, applicant's skills and prior relevant experience, certain degrees and certifications (e.g. JD/technology), for example. Colorado Salary: $126,000- $170,000 Who are we? Contentful is a leading digital experience platform that helps modern businesses meet the growing demand for engaging, personalized content at scale. By blending composability with native AI capabilities, Contentful enables dynamic personalization, automated content delivery, and real-time experimentation, powering next-generation digital experiences across brands, regions, and channels for more than 4,200 organizations worldwide. More than 700 people from more than 70 nations contribute their energy and creativity to Contentful, working from hubs in Berlin, Denver, San Francisco, London, New York, and distributed worldwide. Everyone is welcome here! “Everyone is welcome here” is a celebrated component of our culture. At Contentful, we strive to create an inclusive environment that empowers our employees. We believe that our products and services benefit from our diverse backgrounds and experiences, and we are proud to be an equal opportunity employer. All qualified applications will receive consideration for employment without regard to race, color, national origin, religion, sexual orientation, gender, gender identity, age, physical [dis]ability, or length of time spent unemployed. We invite you to apply and join us! If you need reasonable accommodations at any point during the application or interview process, please let your recruiting coordinator know. Please be aware of scammers who may fraudulently allege to be from Contentful. These types of fraud can be carried out through copycat websites, fake email addresses claiming to be from our company, or social media. We do not ask for your personal information, such as bank account numbers, identification numbers, etc, through social media or chat-based apps, nor do we request or send money for the purchase of business equipment. If you suspect fraud, please report it to your local authorities, as well as reach out to us at security-esk@contentful.com with any information you may have. By clicking “Apply for this job,” I acknowledge that I have read the “ Contentful’s Candidate Privacy Notice ” and hereby consent to the collection, processing, use, and storage of my personal information as described therein.</t>
  </si>
  <si>
    <t>greenhouse|hellofresh|7977373</t>
  </si>
  <si>
    <t>HelloFresh</t>
  </si>
  <si>
    <t>hellofresh</t>
  </si>
  <si>
    <t>7977373</t>
  </si>
  <si>
    <t>Claims &amp; Risk Analyst</t>
  </si>
  <si>
    <t>Boulder, Colorado, United States; Irving, TX, United States; New York, NY, United States</t>
  </si>
  <si>
    <t>https://careers.hellofresh.com/global/en/job/7977373?gh_jid=7977373</t>
  </si>
  <si>
    <t>HelloFresh is seeking a Claims &amp; Risk Analyst to join our team! As a Claims &amp; Risk Analyst, you will support day-to-day operations across claims management, reporting, and insurance program administration. This role is primarily focused on supporting our Workers' Compensation program, while also assisting with a smaller portfolio of general liability, property, subrogation (recovery), and commercial auto claims as needed. You will play a key role in ensuring claims are managed efficiently from intake through resolution by supporting claim intake, tracking, reporting, and timely claim processing. You'll maintain accurate claims data and dashboards while coordinating with internal stakeholders, third-party administrators (TPAs), carriers, and brokers to help drive claims toward successful resolution. This position offers the opportunity to gain broad exposure across corporate risk management, including claims oversight, data analytics, return-to-work programs, insurance renewals, and continuous process improvement. You will... Manage claim intake end-to-end, including FNOL processing, initial review, severity assignment, and escalation identification Monitor and support claims throughout the lifecycle by handling routine follow-ups, identifying aging or high-risk claims, and coordinating with adjusters to ensure timely progression Prepare and support bi-weekly claim reviews, including compiling data, tracking action items, and maintaining TPA performance metrics Build, maintain, and validate dashboards and reports across claims, trends, KPIs, and loss data to ensure accuracy and consistency Analyze claims data to identify trends, emerging risks, and recurring root causes, and partner with internal stakeholders to support action planning Track Return-to-Work progression for injured workers, and compliance-related data, including audit support and timely updates across systems Track and support subrogation and recovery efforts, including follow-ups on outstanding items and documentation Assist with insurance program administration, including exposure data collection, renewal support, and submission preparation Review claim files and collaborate with TPAs on reserve adequacy and claim strategy Partner cross-functionally to gather required documentation and support efficient claim processing Participate in regular calls with carriers, brokers, and TPAs to support claim oversight and program execution Support additional risk management and claims-related tasks as needed At a minimum, you have... 2–3 years experience with workers' compensation claims, either as a claims adjuster or through direct involvement of an employer's Workers' Compensation program within a risk management function. Bachelor’s degree preferred; will consider high school diploma with 2+ years of experience listed above ARM, CPCU, CRM, AIC or other risk/insurance designations preferred but not required Strong Excel and data analysis capabilities; Power BI and/or RMIS experience is a plus A proactive and self-motivated mindset and are highly responsive to meeting the needs of our internal and external customer Ability to work both independently and collaboratively in a team environment, while effectively prioritizing tasks and managing time Ability to adapt to changing business needs, with a flexible approach to shifting priorities, processes, and responsibilities You’ll get… Competitive Salary &amp; 401k company match that vests immediately upon participation Generous parental leave of 16 weeks &amp; PTO policy $0 monthly premium and other flexible health plans 85% discount on your subscription to HelloFresh (as well as other product initiatives) Employee Resource Groups Collaborative, dynamic work environment within a fast-paced, mission-driven company This job description is intended to provide a general overview of the responsibilities. However, the Company reserves the right to adjust, modify, or reassign work tasks and responsibilities as needed to meet changing business needs, operational requirements, or other factors. New York Pay Range $68,040 — $81,000 USD Colorado Pay Range $63,000 — $75,000 USD</t>
  </si>
  <si>
    <t>greenhouse|sumup|8596342002</t>
  </si>
  <si>
    <t>SumUp</t>
  </si>
  <si>
    <t>sumup</t>
  </si>
  <si>
    <t>8596342002</t>
  </si>
  <si>
    <t>Data Analytics Engineer - Boulder, Colorado</t>
  </si>
  <si>
    <t>Boulder, Colorado, United States</t>
  </si>
  <si>
    <t>https://sumup.com/careers/positions/8596342002?gh_jid=8596342002</t>
  </si>
  <si>
    <t>Data Analytics Engineer — Boulder, Colorado Full-time | Boulder, CO | No visa sponsorship available The US Analytics team is building the data foundations that power SumUp's US operations. We design reliable data models, keep our infrastructure clean, and turn complex datasets into insights the business can act on. You'll join at a point where there's real work to own — from shaping how data is structured to improving the tools and dashboards that teams rely on every day. If you're someone who's been close to data in an analytical role and is ready to go deeper into how it's built and maintained, this is a meaningful next step. 👉 Take a look at our Boulder office What you'll do Build, maintain, and document DBT models in a Snowflake environment, keeping data clean, reliable, and well-structured Develop and maintain Tableau dashboards and data sources that stakeholders across the business trust and use independently Rotate through day-to-day data operations support — handling ad hoc requests, troubleshooting reporting issues, and diagnosing pipeline problems Contribute to modernizing our data infrastructure, helping business stakeholders self-serve through AI-assisted tooling Own stakeholder relationships independently — gathering requirements, setting clear expectations, and communicating confidently with technical and non-technical audiences alike You'll be great for this role if… Strong experience building or structuring datasets — not just querying them based on others work Solid SQL and DBT Core skills, hands-on experience with Snowflake and Proven ability to build Tableau dashboards that stakeholders genuinely rely on Strong communicator who can own stakeholder conversations, gather requirements, manage expectations, and push back when a request isn't clearly defined High attention to data quality and the confidence to work through problems independently before escalating Familiarity with AI-assisted data tools such as GitHub Copilot or Cursor Familiarity with Salesforce Bonus points for: Advanced DBT experience Experience with self-serve or semantic data layers Contributions to an AI agent knowledge base or prompt engineering work Understanding of the limitations of LLMs when applied to data problems Previous experience in a fast paced, team environment Why you should join SumUp 🌍 Opportunity to work with SumUppers globally on large-scale fintech products used by millions of businesses worldwide, from our Boulder office. This involves an office-first setup 🚀 Enrollment onto our Virtual Stock Option program: you will own a stake in SumUp's future success 📚 A dedicated annual learning budget of $2,000 for your individual development, which can be used to attend conferences and/or advance your career through further education 🏖 Generous time off: 22 days of paid vacation, plus an extra day each year up to 28 days, public holidays, and special leaves 🏥 Health and life coverage: group medical coverage, plus life insurance 💼 Financial security: 401(k) retirement scheme with SumUp matching funds 🌴 Break4me: 1-month sabbatical after 3 years of service 🌈 Commitment to Diversity and Inclusion: be part of a workplace that values and promotes diversity, fostering an inclusive environment where everyone's perspectives are respected and embraced Compensation: $100,000–$120,000 base salary Virtual Stock Options Final compensation will be based on the candidate's experience and location About SumUp Be empowered to do more that matters. At SumUp, we're on a mission to empower small businesses across the globe by providing simple and affordable tools that allow them to thrive. Today, over 4 million businesses in 37 markets rely on SumUp as their financial partner to manage payments, finance and customer relationships. Our commitment to small businesses is reflected in our diverse team of over 4,000 SumUppers from over 90 nationalities, united by global collaboration and an innovative mindset. Our core values lay the foundation for who we are and what we stand for, shaping our work culture and driving our success. We foster inclusivity and a continuous learning culture, providing a safe space for personal and professional growth. Our differences make us unique and strong as we strive to create an environment where everyone belongs and feels supported, no matter how they identify. SumUp is proud to be an Equal Employment Opportunity employer, actively seeking and embracing diversity in our workforce. We don't make hiring or employment decisions based on race, colour, religion or religious belief, ethnic or national origin, nationality, sex, gender, gender identity, sexual orientation, disability, age or any other basis protected by applicable laws or prohibited by company policy. Our commitment extends beyond recruitment to creating a safe and respectful workplace where harassment of any form is strictly prohibited. Discover more about our culture and opportunities on our careers website , and follow our journey on LinkedIn , Instagram , and TikTok . Job Application Tip We recognise that candidates feel they need to meet 100% of the job criteria in order to apply for a job. Please note that this is only a guide. If you don’t tick every box, it’s ok too because it means you have room to learn and develop your career at SumUp.</t>
  </si>
  <si>
    <t>greenhouse|sumup|8558683002</t>
  </si>
  <si>
    <t>8558683002</t>
  </si>
  <si>
    <t>Outside Sales Account Executive - Kansas City, MO</t>
  </si>
  <si>
    <t>Missouri, United States</t>
  </si>
  <si>
    <t>https://sumup.com/careers/positions/8558683002?gh_jid=8558683002</t>
  </si>
  <si>
    <t>SUMUP IS HIRING for the greater Kansas City Area... This is a Field Sales role Who You Are You are a sales professional with 1-5 years of experience, who is bright and driven, looking for a genuine opportunity where you can be with a company for a long time. In fact, you are GREAT, you are going places, so you are looking for a home where your commissions are uncapped, though you also need that base salary to pay immediate bills. You’re also looking for somewhere that allows you to move up internally, because you’ll need that, and to work with an interesting technical product that actually makes a real difference in the world. You care about helping others and your local neighborhood. You want a start-up atmosphere, but you also want stability in rocky times and good benefits, and you want to work with other great people who are fun and above all make you better than you ever thought you could be. SumUp supports a diverse community of professionals with various backgrounds and lived experiences. There is no “perfect candidate” for this role. We are simply searching for people that are driven to succeed in helping SumUp continue delivering on our values and making our customers successful. A Day In Your Life Armed with a good understanding of the product from training, you will build a sales pipeline by developing relationships with local businesses. We will show you how. You will make their life easier by selling a payment and loyalty solution that turns their small enterprise into the heartbeat of the block. Over 3 million merchants use us because our products are good. This is going to require research however, and cold calling, and knocking on doors, and above all empathy and kindness for your customer’s needs. The Role You Would Fill Full sales cycle management including territory based prospecting and canvassing Cold Calling for new business leads Research (play smarter not harder) Use our CRM to track performance and ensure communication and success Your Background 1-5 years of sales experience Reliable transportation Experience in retail, hospitality, B2B and/or SAAS sales is always a plus. If you don’t have this, please don’t let this stop you from applying Who we are SumUp is a fast-growing fintech firm that helps local families and businesses by allowing them to receive payments quickly and simply, both in-store and online. We are no small cheese because we have over 3000 employees and work in over 34 countries. But most importantly we are relied upon by merchants of all sizes from DHL to taxi drivers. A few details of the role include: Starting Compensation: On-target-earnings (OTE) $107,000 with uncapped commission. Opportunities for advancement and increased compensation based on performance. 22 days of annual PTO plus 11 paid holidays 401K matching Great medical, dental and vision benefits. #SumUpUSA Job Application Tip We recognise that candidates feel they need to meet 100% of the job criteria in order to apply for a job. Please note that this is only a guide. If you don’t tick every box, it’s ok too because it means you have room to learn and develop your career at SumUp.</t>
  </si>
  <si>
    <t>ashby|photoroom|62fccba8-2ec8-4411-9b38-10db8055f69c</t>
  </si>
  <si>
    <t>Photoroom</t>
  </si>
  <si>
    <t>photoroom</t>
  </si>
  <si>
    <t>62fccba8-2ec8-4411-9b38-10db8055f69c</t>
  </si>
  <si>
    <t>Senior Software Engineer (FastAPI &amp; Async Python)</t>
  </si>
  <si>
    <t>Paris | Remote</t>
  </si>
  <si>
    <t>https://jobs.ashbyhq.com/photoroom/62fccba8-2ec8-4411-9b38-10db8055f69c</t>
  </si>
  <si>
    <t>ABOUT US
Founded in 2019 and part of Y Combinator's 2020 cohort, Photoroom https://www.photoroom.com is the leading visual solution for e-commerce.
We've raised Series B funding and reached 300+ million users worldwide, processing over 5 billion images annually and serving both small businesses and major enterprises like Amazon, DoorDash, and Decathlon through our mobile app, web platform, and API.
We're a remote-friendly team of 100+ passionate builders giving e-commerce businesses superpowers to create visuals that help them grow, making the hardest parts of selling online disappear. We focus on craft, innovation, and collaboration, creating exceptional impact for e-commerce businesses worldwide.
We are looking for a Senior FastAPI engineer to help us add new AI features in Photoroom. You will use asyncio heavily to build and enhance AI features, improve private API speed, and integrate multiple services to deliver high-quality images and videos to our users
Compensation: 100k to 110k* + Stock-Options/BSPCE (Local currency)
Location: Remote with with monthly Paris office visits (fully reimbursed). We can hire people already based in selected countries only: France, Germany, Ireland, Italy, Portugal, Spain, UK, Poland.
ABOUT THE ROLE
 - You'll collaborate with the AI Tools squad implement and improve AI features in the Photoroom app (Logo maker, AI Images, AI Videos, and other features available on the homepage of the app).
 - You'll design and architect new features, chaining a mix of internal and external services to generate breathtaking images and videos for our users.
 - You'll monitor and scale the growing load on the FastAPI service, leveraging Datadog to find optimisations and bottlenecks or implementing smart caching of pipeline steps.
ABOUT YOU
 - You have experience designing and updating internal REST APIs operating at scale, collaborating with other teams to gather their requirements and monitoring and improving the performance of existing services, ideally with Datadog.
 - 5 years of production python &amp; fastapi is a minimum baseline.
 - You have a strong practical understanding of FastAPI or a similar async Python http framework (has to be async).
 - You know how to keep async actually async. You can identify blocking calls in async handlers, know when to offload CPU-bound work to a thread, and treat protecting the event loop as table stakes.
 - You have experience with integration testing in a large Python project and wiring multiple external services or APIs together reliably
 - You have worked in a fast-paced startup in the past and thrive in high-autonomy environments where you set your own direction and own outcomes end-to-end
 - Bonus: experience working with AI APIs in production
If you think you have what it takes but don't meet every single point above, please still apply. We'd love to chat and see if you could be a great fit.
HIRING PROCESS
 - Screening call with the Talent Manager
 - Technical interview with the Hiring Manager
 - Home technical assignment, followed by a review with the team
 - Culture fit interviews and meet the team!
 - Reference check &amp; Offer
Support - If you have a medical condition or an individual need for an adjustment to our process, and you believe this may affect your ability to be at your best - please let us know so we can talk about how we can best support you and make any adjustments that may be needed.
BENEFITS
 - Work flexibly from one of our core countries: France, Germany, Italy, Spain, Poland, the US (NYC)
 - Regular team gatherings, including in-person onboarding in Paris (1-2 weeks), yearly company offsite and team retreat, quarterly in-person meetings (monthly during probation period), and social events like winter party and hackathons.
 - 30 days annual leave plus local public holidays
 - Competitive equity package with stock options/BSPCE, giving you ownership in our growing company
 - €1000 one-time home office grant OR €400 per month co-working space stipend
 - €1,000 annual learning and development budget for training, courses, books, and skill development
 - Private health insurance
 - Access to personalized mental health support, including 1:1 sessions with therapists or coaches, self-care tools, and well-being resources via MokaCare
 - Sports and cultural activities reimbursement
 - Relocation support (up to 10k) available for those choosing to move to France, including apartment finding and visa assistance.
Note: Visa sponsorship and relocation support are only available for positions based in France. We cannot sponsor visas for remote positions outside of France.
DIVERSITY, EQUITY, INCLUSION, AND BELONGING
We're committed to enabling everyone to feel included and valued at work. We believe our company and culture are strongest when composed of diverse experiences and backgrounds.
That's also why we have flexible working hours, trust people to work remotely, and extended parental leave.
All qualified applicants receive consideration for employment without regard to age, color, family, gender identity, marital status, national origin, physical or mental disability, sex (including pregnancy), sexual orientation, or any other characteristic protected by applicable laws.</t>
  </si>
  <si>
    <t>greenhouse|isomorphic labs|5460704004</t>
  </si>
  <si>
    <t>Isomorphic Labs</t>
  </si>
  <si>
    <t>isomorphiclabs</t>
  </si>
  <si>
    <t>5460704004</t>
  </si>
  <si>
    <t>Research Scientist (Machine Learning), Lausanne</t>
  </si>
  <si>
    <t>Lausanne</t>
  </si>
  <si>
    <t>https://job-boards.greenhouse.io/isomorphiclabs/jobs/5460704004</t>
  </si>
  <si>
    <t>Isomorphic Labs is applying frontier AI to help unlock deeper scientific insights, faster breakthroughs, and life-changing medicines with an ambition to solve all disease. The future is coming. A future enabled and enriched by the incredible power of machine learning. A future in which diseases are curtailed or cured starting with better and faster drug discovery. Come and be part of an interdisciplinary team driving groundbreaking innovation and play a meaningful role in contributing towards us achieving our ambitious goals, while being a part of an inspiring and collaborative culture. The world we want tomorrow is the one we’re building today. It starts with the culture at this company. It starts with you. About Iso Isomorphic Labs (IsoLabs) was launched in 2021 to advance human health by building on and beyond the Nobel-winning AlphaFold system. Since then, our interdisciplinary team of drug discovery experts and machine learning specialists has built powerful new predictive and generative AI models that accelerate scientific discovery at digital speed. Our name comes from the belief that there is an underlying symmetry between biology and information science. By harnessing AI’s powerful capabilities, we can use it to model complex biological phenomena to help design novel molecules, anticipate how drugs will perform and develop innovative medicines to treat and cure some of the world’s most devastating diseases. We have built a world-leading drug design engine comprising AI models that are capable of working across multiple therapeutic areas and drug modalities. We are continually innovating on model architecture and developing cutting-edge capabilities to advance rational drug design. Every day, and with each new breakthrough, we’re getting closer to the promise of digital biology, and achieving our ambitious mission to one day solve all disease with the help of AI. Research Scientist (Machine Learning), Lausanne Your impact As a Research Scientist in machine learning (ML), you will play an exciting role in building greenfield machine learning based models and algorithms that will power our platform to transform the drug discovery world as we know it. Working in a highly creative, fast-paced and interdisciplinary environment, you will be partnering with leading engineers and scientists to conceive, design, and develop cutting edge machine learning algorithms to unlock new modelling and predictive power which will be critical to the organisation’s success. You will draw upon your existing deep research experience whilst learning from those around you, to apply novel techniques and ideas to newly encountered computational biology and chemistry problems. Depending on your experience: You will create and lead projects, bringing together a variety of disciplined scientists and engineers to pursue some of the most ambitious modelling problems with deep learning - as well as providing technical mentorship and people management for others in the ML community at Isomorphic Labs You will be instrumental in leading greenfield machine learning based research projects, building the models, and algorithms that will power our platform to transform the drug discovery world as we know it. What you will do Contribute to our research directions in machine learning by using your extensive knowledge of the field to apply world-leading ML algorithms to drug discovery. Identify and create novel ML techniques and the required data to train. Develop the architectures and training algorithms of machine learning models. Analyse and tune experimental results to inform future experimental directions. Implement and scale training and inference engineering frameworks. Report and present research findings and developments clearly and efficiently, to both other ML scientists and scientists of different disciplines. Iterate collaboratively with scientists and domain experts, sharing your own domain experience. Suggest and engage in team collaborations to meet ambitious research goals. Depending on your experience: Provide technical mentorship and guidance to the ML research community, advising on projects, and shaping our research roadmap based on your deep technical expertise. Provide developmental support to other ML research scientists. Create, lead, and run ML research projects, fostering collaborative and diverse teams to solve high priority modelling problems.Cultivate a diverse and inclusive research culture. Skills and qualifications Essential PhD or equivalent practical experience in a technical field. A proven track record in machine learning using deep learning techniques, including designing new architectures, hands-on experimentation, analysis, and visualisation. Strong knowledge of linear algebra, calculus and statistics. Experience using ML frameworks such as JAX, PyTorch, or TensorFlow, and scientific software such as NumPy, SciPy, or Pandas. A passion for applying ML research to real world problems. Depending on your experience: project supervision, leadership, or management. Nice to have PhD in machine learning or computer science. Relevant research experience to the position such as post doctoral roles, a proven track record of publications, or contributions to machine learning codebases. Experience working in a scientific environment across disciplines (particularly biology, chemistry, physics). Experience working with biological or chemical data and biological or chemistry software. Experience working with real-world datasets. Experience with ML on accelerators. Experience in any of: large scale deep learning, generative models, graph neural networks, deep learning for drug discovery, deep learning for computer vision, 3D graphics/robotics, real-world applied RL. Culture and values We are guided by our shared values. It's not about finding people who think and act in the same way. These values help to guide our work and will continue to strengthen it. Thoughtful Thoughtful at Iso is about curiosity, creativity and care. It is about good people doing good, rigorous and future-making science every single day. Brave Brave at Iso is about fearlessness, but it’s also about initiative and integrity. The scale of the challenge demands nothing less. Determined Determined at Iso is the way we pursue our goal. It’s a confidence in our hypothesis, as well as the urgency and agility needed to deliver on it. Because disease won’t wait, so neither should we. Together Together at Iso is about connection, collaboration across fields and catalytic relationships. It’s knowing that transformation is a group project, and remembering that what we’re doing will have a real impact on real people everywhere. Creating an extraordinary company We believe that to be successful we need a team with a range of skills and talents. We're building an environment where collaboration is fundamental, learning is shared and every employee feels supported and able to thrive. We value unique experiences, knowledge, backgrounds, and perspectives, and harness these qualities to create extraordinary impact. We are committed to equal employment opportunities regardless of sex, race, religion or belief, ethnic or national origin, disability, age, citizenship, marital, domestic or civil partnership status, sexual orientation, gender identity, pregnancy or related condition (including breastfeeding) or any other basis protected by applicable law. If you have a disability or additional need that requires accommodation, please do not hesitate to let us know. Hybrid working It’s hugely important for us to share knowledge and build strong relationships with each other, and we find it easier to do this if we spend time together in person. This is why we follow a hybrid model, and would require you to be able to come into the office 3 days a week (currently Tuesday, Wednesday, and one other day depending on which team you’re in). If you have additional needs that would prevent you from following this hybrid approach, we’d be happy to talk through these if you’re selected for an initial screening call. Please note that when you submit an application, your data will be processed in line with our privacy policy . &gt;&gt; Click to view other open roles at Isomorphic Labs</t>
  </si>
  <si>
    <t>greenhouse|physicsx|4880922101</t>
  </si>
  <si>
    <t>PhysicsX</t>
  </si>
  <si>
    <t>physicsx</t>
  </si>
  <si>
    <t>4880922101</t>
  </si>
  <si>
    <t>San Francisco, United States</t>
  </si>
  <si>
    <t>https://job-boards.eu.greenhouse.io/physicsx/jobs/4880922101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</si>
  <si>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Who We're Looking For As a Data Scientist in Delivery, you are a problem solver and builder who is passionate about creating practical solutions that enable customers to make better engineering decisions. You are someone who can grasp advanced engineering concepts across multiple industries, and you excel at working directly with customers (and often side-by-side with them on-site) to transform cutting edge AI models into tools that are useful and used. You’ve worked on difficult problems that require strong foundations in data driven modelling and deep learning techniques, with hands-on experience in probabilistic methods and predictive modelling. Expertise in python, along with proficiency in libraries like NumPy, SciPy, Pandas, TensorFlow and PyTorch, is essential, with the ability to deploy scalable, production-ready models and data pipelines. With at least 1 year industry experience (post Masters or PhD) in a commercial, non-research environment, you’re ready to hit the ground running. You’re truly excited about growing your technical expertise and are naturally inclined to take ownership of data science work streams, continuously improving the systems and solutions you work on to ensure they are practical, impactful and meet the evolving needs of our customers. This Role In this role, you’ll work closely with our Simulation Engineers, Machine Learning Engineers, and customers to understand and define the engineering and physics challenges we are solving. You’ll build the foundations for successful, impactful solutions by: Pre-processing and analyzing data to prepare it for use in predictive modelling, building the foundation for machine learning algorithms to be developed. Developing and utilizing innovative deep learning models in combination with state-of-the-art optimization methods to predict and control the behaviour of physical systems. Taking full responsibility for the quality, accuracy and impact of your work. Designing, building and testing data pipelines that are reliable, scalable and easily deployable in production environments. Working closely with simulation engineers to ensure seamless integration of data science models with simulations. Contributing to internal R&amp;D and product development, helping to refine models and identify new areas of application. Engaging in open communication and presentation with both technical teams and customers, helping onboard users and co-develop with customers. You'll also have the opportunity to travel to customer sites in North America, Europe, Asia, Oceania, for an average of 3-4 weeks per quarter , where you'll collaborate closely with customers to build solutions on-site. As the role evolves, there are exciting opportunities for growth as an individual contributor or a technical lead, especially if you’re driven by taking ownership of more complex projects and leading the direction of future solutions.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</si>
  <si>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greenhouse|physicsx|4849382101</t>
  </si>
  <si>
    <t>4849382101</t>
  </si>
  <si>
    <t>Machine Learning Engineer</t>
  </si>
  <si>
    <t xml:space="preserve">New York, United States </t>
  </si>
  <si>
    <t>https://job-boards.eu.greenhouse.io/physicsx/jobs/4849382101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</si>
  <si>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Machine Learning Engineer in Delivery, you are a problem solver who stays anchored to impact. You are someone who can grasp advanced engineering concepts across multiple industries,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Working at the intersection of data science and software engineering, you translate R&amp;D and project outputs into reusable libraries, tooling and products. With at least 2 years industry experience (post Masters or PhD) in a commercial, non-research environment.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Machine Learning Engineer,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What you will do Work closely with our simulation engineers, data scientists and customers to develop an understanding of the physics and engineering challenges we are solving Design, build and test data pipelines for machine learning that are reliable, scalable and easily deployable Explore and manipulate 3D point cloud &amp; mesh data Own the delivery of technical workstreams Create analytics environments and resources in the cloud or on premise, spanning data engineering and science Identify the best libraries, frameworks and tools for a given task, make product design decisions to set us up for success Work at the intersection of data science and software engineering to translate the results of our R&amp;D and projects into re-usable libraries, tooling and products Continuously apply and improve engineering best practices and standards and coach your colleagues in their adoption You'll also have the opportunity to travel to customer sites in North America, Europe, Asia, Oceania, for an average of 3-4 weeks per quarter , where you'll collaborate closely with customers to build solutions on-site. What you bring to the table Experience applying Machine learning methods (including 3D graph/point cloud deep learning methods) to real-world engineering applications, with a focus on driving measurable impact in industry settings. Experience in ML/Computational statistics/Modelling use-cases in industrial settings (for example supply chain optimisation or manufacturing processes) is encouraged. A track record of scoping and delivering projects in a customer facing role 2+ years’ experience in a data-driven role, with exposure to software engineering concepts and best practices (e.g., versioning, testing, CI/CD, API design, MLOps) Building machine learning models and pipelines in Python, using common libraries and frameworks (e.g., TensorFlow, MLFlow) Distributed computing frameworks (e.g., Spark, Dask) Cloud platforms (e.g., AWS, Azure, GCP) and HP computing Containerization and orchestration (Docker, Kubernetes) Strong problem-solving skills and the ability to analyse issues, identify causes, and recommend solutions quickly Excellent collaboration and communication skills - with teams and customers alike A background in Physics, Engineering, or equivalent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$150,000 - $190,000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</si>
  <si>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greenhouse|physicsx|4852973101</t>
  </si>
  <si>
    <t>4852973101</t>
  </si>
  <si>
    <t>Senior Computer Vision Data Scientist</t>
  </si>
  <si>
    <t>New York, United States</t>
  </si>
  <si>
    <t>https://job-boards.eu.greenhouse.io/physicsx/jobs/4852973101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</si>
  <si>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Senior Data Scientist — Computer Vision &amp; Predictive Maintenance We are looking for a Senior Data Scientist with deep computer vision expertise to lead the development of physics-informed predictive maintenance systems for high-value industrial equipment. Working directly with major industrial customers, you will build pipelines that fuse periodic inspection imagery with equipment operating history and physics-based inputs to predict remaining component life — helping operators reduce costly unplanned interventions and optimise asset availability. Who we're looking for You have a strong research foundation in computer vision and applied deep learning, and you know how to take that foundation into production on real-world industrial problems. You are energised by the challenge of building models that actually work under difficult conditions — sparse data, inconsistent image quality, and high stakes for getting it wrong. You can move fluidly between designing the right architecture and debugging a broken data pipeline. You are comfortable working directly with domain experts and customers to translate physical intuition into modelling decisions, and you care about producing outputs that engineers can trust and operators can act on. What you bring Deep expertise in selecting, adapting, and fine-tuning pretrained vision encoders (ViT, DINOv3, ResNet-family or equivalent) for industrial or scientific imaging problems where data is sparse and capture conditions are variable Strong command of gradient-based interpretability methods (Grad-CAM, integrated gradients) and the ability to produce sensitivity maps that make model behaviour reviewable by non-ML domain experts Proven ability to build joint models that combine visual features with heterogeneous inputs including tabular metadata, time-series operating history, and physics-derived signals Hands-on experience with probabilistic or Bayesian output modelling and calibrated uncertainty quantification Production ML mindset - you architect and ship reliable, scalable pipelines deployable within enterprise cloud environments, not just notebooks Comfort with messy, real-world industrial datasets: sparse time series, noisy labels, irregular collection intervals, and data linkage challenges Strong communication skills across technical and non-technical audiences, including the ability to co-develop solutions on-site with customers PhD or equivalent research experience in computer vision, machine learning, or a related field strongly preferred Experience with physics-informed or hybrid ML approaches is a significant plus Domain experience in aerospace, energy, heavy industry, mining, or MRO is helpful but not required — genuine curiosity about engineering domains and asset-intensive operations is essential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</si>
  <si>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greenhouse|physicsx|4678291101</t>
  </si>
  <si>
    <t>4678291101</t>
  </si>
  <si>
    <t>https://job-boards.eu.greenhouse.io/physicsx/jobs/4678291101</t>
  </si>
  <si>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Note: Due to the nature of our aerospace and defense work, this position is open to US citizens only.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Own the deployment of ML models and engineering surrogates (e.g., deep learning on CAE/CFD/FEA data, time‑series forecasting, anomaly detection, optimization &amp; control) to customer production environments. Communicate results and trade‑offs to senior stakeholders; steer roadmaps and influence product direction with evidence. Lead scoping and architecture design for data/ML systems; define success metrics, delivery plans and quality bars. Excel at building robust and scalable ML systems, training and inference pipelines and APIs, running both on cloud and on-prem environments. The tech stack you will use for this includes: Python, PyTorch, Pandas, fastAPI, Scipy, Kubeflow, among others. Mentor and develop engineers and data scientists; provide technical direction and clear, calm decision‑making under pressure. Travel to customer sites in North America, Europe, Asia, Oceania, for an average of 3-4 weeks per quarter , where you'll collaborate closely with customers to build solutions on-site.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Build what actually matters Help shape an AI-native engineering company at a formative stage, tackling problems that genuinely matter for industry and society. This is work with real-world impact - and something you can be proud to stand behind. Learn alongside exceptional people Work with a high-caliber, collaborative team of engineers, scientists, and operators who care deeply about doing great work, and about helping each other get better. We come from diverse backgrounds, but we share a commitment to operating at the highest level and addressing some of the most complex challenges out there. If you’re ambitious, thoughtful, and driven by impact, you’ll feel at home. Influence over hierarchy We operate with a flat structure: good ideas win - wherever they come from. Questioning assumptions and challenging the status quo isn’t just welcomed, it’s expected. Sustainable pace, long-term ambition Building meaningful technology is a marathon, not a sprint. We believe in balancing focused, ambitious work with a life beyond it. Our hybrid model blends time together in our New York office with work-from-home days, giving you the flexibility to work sustainably while staying connected in person. And it doesn’t stop there … 🚀 Equity options - share meaningfully in the company you’re helping to build. 💰 5% contribution to 401(k) - build long-term security with a strong retirement plan. 🍽️ Free team lunch 1x/week - good food, great company, and space to connect. 🏥 Private health insurance – comprehensive cover for you, offering total peace of mind. 👶 Enhanced parental leave – 3 months full pay paternity and 6 months full pay maternity leave, to provide extra flexibility during the moments that matter most. ☀️ 20 days of Annual Leave (+ Public Holidays) - because taking time to rest matters. 📈 Personal development – dedicated support for learning, development, and leveling up over time. 💪 Gympass / Wellhub (subsidized) – for you and up to 3 family members, supporting both physical and mental wellbeing. 💳 Flexible Spending Account (FSA) – set aside pre-tax dollars for eligible healthcare expenses. 🔎 Watch this space, we’re continuing to build this as we grow… Salary range: $200,000 - $250,000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</si>
  <si>
    <t>ashby|faculty|064b8c9e-eddc-486f-a013-1560fc4b6254</t>
  </si>
  <si>
    <t>Faculty</t>
  </si>
  <si>
    <t>faculty</t>
  </si>
  <si>
    <t>064b8c9e-eddc-486f-a013-1560fc4b6254</t>
  </si>
  <si>
    <t>Senior Data Scientist</t>
  </si>
  <si>
    <t>UK - London</t>
  </si>
  <si>
    <t>https://jobs.ashbyhq.com/faculty/064b8c9e-eddc-486f-a013-1560fc4b6254</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</si>
  <si>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</si>
  <si>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ashby|faculty|07967907-b88f-4a1c-8a7b-adebb0f7d58b</t>
  </si>
  <si>
    <t>07967907-b88f-4a1c-8a7b-adebb0f7d58b</t>
  </si>
  <si>
    <t xml:space="preserve">Senior Machine Learning Engineer </t>
  </si>
  <si>
    <t>https://jobs.ashbyhq.com/faculty/07967907-b88f-4a1c-8a7b-adebb0f7d58b</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</si>
  <si>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</si>
  <si>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ashby|faculty|168cb0e1-daea-42d5-ac09-e12a61cf72ca</t>
  </si>
  <si>
    <t>168cb0e1-daea-42d5-ac09-e12a61cf72ca</t>
  </si>
  <si>
    <t xml:space="preserve">Machine Learning Engineer </t>
  </si>
  <si>
    <t>UK - Remote</t>
  </si>
  <si>
    <t>https://jobs.ashbyhq.com/faculty/168cb0e1-daea-42d5-ac09-e12a61cf72ca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</si>
  <si>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</si>
  <si>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ashby|faculty|27dee06f-ffaa-462e-9b91-888272ba5989</t>
  </si>
  <si>
    <t>27dee06f-ffaa-462e-9b91-888272ba5989</t>
  </si>
  <si>
    <t>Machine learning Engineer</t>
  </si>
  <si>
    <t>https://jobs.ashbyhq.com/faculty/27dee06f-ffaa-462e-9b91-888272ba5989</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</si>
  <si>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Energy, Transition and Environment business unit is pioneering meaningful change in the clean energy revolution. Our vision is to accelerate the transition to net-zero emissions and drive efficiencies for a new era of utility companies.
We believe that the responsible, and intelligent, deployment of AI is critical to the success of this mission. We partner with a wide range of clients - from major energy operators, to GreenTech startups, and national infrastructure providers - to build solutions which return measurable impact and move us towards a smarter, cleaner, and more sustainable world.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</si>
  <si>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ashby|faculty|27e13461-0792-4c98-94e5-a989cf4b8701</t>
  </si>
  <si>
    <t>27e13461-0792-4c98-94e5-a989cf4b8701</t>
  </si>
  <si>
    <t>https://jobs.ashbyhq.com/faculty/27e13461-0792-4c98-94e5-a989cf4b8701</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</si>
  <si>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</si>
  <si>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ashby|faculty|3c808ef2-1d15-4352-bf87-93fef11027d1</t>
  </si>
  <si>
    <t>3c808ef2-1d15-4352-bf87-93fef11027d1</t>
  </si>
  <si>
    <t>Lead Machine Learning Engineer</t>
  </si>
  <si>
    <t>https://jobs.ashbyhq.com/faculty/3c808ef2-1d15-4352-bf87-93fef11027d1</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</si>
  <si>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Machine Learning Engineer at Faculty, you will set the technical direction for complex AI/ML projects, ensuring models perform at scale and in production over time by balancing technical trade-offs and guiding team priorities.
You will lead the delivery of large-scale AI-powered platforms in high-risk environments while defining project roadmaps across multiple complex workstreams.
This is an ambitious, entrepreneurial leadership role where you will act as a trusted technical expert, defending your architectural rationale to senior stakeholders to ensure we deliver high-quality, high-value outputs.
WHAT YOU'LL BE DOING:
 - Designing, implementing, and maintaining reliable, scalable ML systems while justifying key architectural decisions for production environments.
 - Driving the development of shared libraries and infrastructure for model deployment, lifecycle management, and CI/CD pipelines.
 - Leading model integration with infrastructure by creating APIs and services that enable scalable AI functionality in applications.
 - Overseeing the delivery of multiple complex workstreams and defining project problems in high-risk environments.
 - Ensuring reliable model performance by defining testing frameworks and model versioning systems for senior engineers to implement.
 - Managing and coaching multiple individuals, setting team-wide development goals to improve technical depth and client delivery.
 - Executing proactive recommendations for adopting new technologies and AI frameworks to maintain Faculty's competitive market position.
WHO WE'RE LOOKING FOR:
 - You are an expert at defining technical roadmaps and managing project priorities to deliver high-stakes outcomes within high-growth environments.
 - You possess mastery of cloud-native ecosystems and orchestration tools like Kubernetes to automate complex model lifecycles and robust CI/CD pipelines.
 - You have a proven ability to design large-scale, AI-powered platforms and provide the technical justification for critical architectural decisions in high-risk environments.
 - You bring expert-level experience in operationalising models within frameworks like TensorFlow or PyTorch to solve complex, high-impact business challenges.
 - You define the engineering standards and architecture patterns for agentic systems, ensuring teams build to a consistent, production-grade bar.
 - You demonstrate an exceptional ability to align multi-disciplinary technical teams with broader business objectives and evolving customer needs.
THE INTERVIEW PROCESS
 1. Talent Team Screen (30 minutes)
 2. Introduction to the Hiring Manager (30 minutes)
 3. Pair Programming Interview (90 minutes)
 4. System Design Interview (90 minutes)
 5. Commercial &amp; Leadership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</si>
  <si>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ashby|faculty|536bd41c-0588-48df-aba3-1ed5e7afcb55</t>
  </si>
  <si>
    <t>536bd41c-0588-48df-aba3-1ed5e7afcb55</t>
  </si>
  <si>
    <t xml:space="preserve">Senior Data Scientist </t>
  </si>
  <si>
    <t>https://jobs.ashbyhq.com/faculty/536bd41c-0588-48df-aba3-1ed5e7afcb55</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</si>
  <si>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rigour across projects all while building deep client relationships and solidifying our reputation as a leader in practical, measurable AI.
#LI-PRIO
WHAT YOU'LL BE DOING:
 -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</si>
  <si>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ashby|faculty|553927aa-2c38-4257-99af-4c0255327006</t>
  </si>
  <si>
    <t>553927aa-2c38-4257-99af-4c0255327006</t>
  </si>
  <si>
    <t xml:space="preserve">Lead Machine Learning Engineer </t>
  </si>
  <si>
    <t>https://jobs.ashbyhq.com/faculty/553927aa-2c38-4257-99af-4c0255327006</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</si>
  <si>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THE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</si>
  <si>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ashby|faculty|6637dc01-5a7c-40cd-94a0-91d9c4006b4a</t>
  </si>
  <si>
    <t>6637dc01-5a7c-40cd-94a0-91d9c4006b4a</t>
  </si>
  <si>
    <t>https://jobs.ashbyhq.com/faculty/6637dc01-5a7c-40cd-94a0-91d9c4006b4a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</si>
  <si>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</si>
  <si>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ashby|faculty|70340093-7182-4d2c-b0d4-f383190856bf</t>
  </si>
  <si>
    <t>70340093-7182-4d2c-b0d4-f383190856bf</t>
  </si>
  <si>
    <t>https://jobs.ashbyhq.com/faculty/70340093-7182-4d2c-b0d4-f383190856bf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</si>
  <si>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Retail and Consumer experts are dedicated to helping clients in an industry which is being transformed by new technologies and evolving consumer expectations. Leveraging over a decade of experience in Applied AI, we combine exceptional technical and delivery expertise to empower businesses to adapt and thrive.
#LI-PRIO
ABOUT THE ROLE
Join us as a Lead Machine Learning Engineer to spearhead the technical direction and delivery of complex, innovative AI projects. You will act as a technical expert, applying your skills across various projects from AI strategy to client-side deployments, while ensuring architectural decisions are sound and reliable.
This role demands a balance of deep technical expertise and strong leadership, focusing on driving innovation, fostering team growth, and building reusable solutions across the organisation. If you're ready to manage high-risk projects and deliver practical, innovative outcomes, this is your chance to shape our future.
WHAT YOU'LL BE DOING
 - Setting the technical direction for complex ML projects, balancing trade-offs, and guiding team priorities.
 - Designing, implementing, and maintaining reliable, scalable ML/software systems and justifying key architectural decisions.
 - Defining project problems, developing roadmaps, and overseeing delivery across multiple workstreams in often ill-defined, high-risk environments.
 - Driving the development of shared resources and libraries across the organisation and guiding other engineers in contributing to them.
 - Leading hiring processes, making informed selection decisions, and mentoring multiple individuals to foster team growth.
 - Proactively developing and executing recommendations for adopting new technologies and changing our ways of working to stay ahead of the competition.
 - Acting as a technical expert and coach for customers, accurately estimating large work-streams and defending rationale to stakeholders.
WHO WE'RE LOOKING FOR
 - You are a technical expert among your peers, capable of going deep on particular topics and demonstrating breadth of knowledge to solve almost any problem.
 - You possess strong Python skills and practical experience operationalising models using frameworks like Scikit-learn, TensorFlow, or PyTorch.
 - You are an expert in at least one major Cloud Solution Provider (e.g., Azure, GCP, AWS) and have led teams to build full-stack web applications.
 - You have hands-on experience with containerisation tools like Docker and orchestration via Kubernetes.
 - You can successfully manage and coach a team of engineers, setting team-wide development goals to improve client delivery.
 - You find novel, clever solutions for project delivery and take ownership for successful project outcomes.
 - You're an excellent communicator who can proactively help customers achieve their goals and guide both technical teams and non-technical stakeholders.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</si>
  <si>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ashby|faculty|76c7b295-da94-4e83-813b-25b1766f92a0</t>
  </si>
  <si>
    <t>76c7b295-da94-4e83-813b-25b1766f92a0</t>
  </si>
  <si>
    <t xml:space="preserve">Lead Data Scientist </t>
  </si>
  <si>
    <t>https://jobs.ashbyhq.com/faculty/76c7b295-da94-4e83-813b-25b1766f92a0</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</si>
  <si>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(45 minutes)
 3. Technical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</si>
  <si>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ashby|faculty|7a6e49b5-3f14-4d23-9abe-ec285ce7ee2e</t>
  </si>
  <si>
    <t>7a6e49b5-3f14-4d23-9abe-ec285ce7ee2e</t>
  </si>
  <si>
    <t>https://jobs.ashbyhq.com/faculty/7a6e49b5-3f14-4d23-9abe-ec285ce7ee2e</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</si>
  <si>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National Security and AI Safety business unit is dedicated to advancing the responsible development and deployment of AI in support of national security and global stability. From strengthening mission-critical capabilities across national security and intelligence, to working with frontier labs to provide robust AI safety red teaming and evaluation, we work at the frontier of high-stakes, high-impact missions.
We understand that powerful AI systems bring both transformative opportunities and complex risks and we are proud to partner with Government and the biggest tech organisations in the world to ensure AI is not just transformative but is also secure, trustworthy and safe for all.
Because of the nature of the work we do with our Government clients, you may need to be eligible for UK Developed Vetting (DV) and willing to work on site with our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</si>
  <si>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ashby|faculty|8c211ad2-133d-413f-b65f-31d02f672113</t>
  </si>
  <si>
    <t>8c211ad2-133d-413f-b65f-31d02f672113</t>
  </si>
  <si>
    <t>https://jobs.ashbyhq.com/faculty/8c211ad2-133d-413f-b65f-31d02f672113</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</si>
  <si>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Bringing medicine to patients is complex, expensive and high-risk. Faculty’s Life Science’s team is concentrated on building AI solutions which optimise the research and commercialisation of life-changing therapies.
We partner with major pharma firms, academic research centres and MedTech start-ups to design and deliver solutions which address critical healthcare challenges, and help to democratise health for all.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THE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</si>
  <si>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ashby|faculty|92c892cd-1f6c-443d-9cd8-e4902f9b7fb6</t>
  </si>
  <si>
    <t>92c892cd-1f6c-443d-9cd8-e4902f9b7fb6</t>
  </si>
  <si>
    <t>https://jobs.ashbyhq.com/faculty/92c892cd-1f6c-443d-9cd8-e4902f9b7fb6</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</si>
  <si>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OUR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</si>
  <si>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ashby|faculty|a8ad6158-52b2-46b6-889b-7112d0f3b952</t>
  </si>
  <si>
    <t>a8ad6158-52b2-46b6-889b-7112d0f3b952</t>
  </si>
  <si>
    <t>Principal Machine Learning Engineer</t>
  </si>
  <si>
    <t>https://jobs.ashbyhq.com/faculty/a8ad6158-52b2-46b6-889b-7112d0f3b952</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</si>
  <si>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As a Principal Machine Learning Engineer, you will serve as a high-level technical authority, steering our most complex projects and driving the next wave of AI innovation. You will architect scalable, large-scale systems that integrate seamlessly into existing frameworks while setting the technical direction for Faculty’s flagship initiatives.
By leveraging your deep expertise, you will provide authoritative advice across business units, fostering team growth and influencing company strategy to ensure our solutions remain at the cutting edge of the industry.
WHAT YOU'LL BE DOING
 - Architecting sophisticated software and data science frameworks for large-scale, complex systems that meet rigorous functional and non-functional requirements.
 - Designing integrated system architectures that scale effectively and align with broader organisational and technical standards.
 - Solving intricate technical challenges that span multiple projects or business units, acting as a respected expert for both internal teams and external customers.
 - Setting the strategic technical direction for flagship projects, providing the vision and guidance necessary to ensure successful delivery.
 - Influencing company-wide technical strategy by leveraging deep domain expertise in machine learning and advanced statistics.
 - Advising major initiatives as a technical authority, ensuring that architectural choices are robust, sustainable, and innovative.
WHO WE'RE LOOKING FOR
 - You are a recognised technical authority with extensive experience in machine learning, statistics, and advanced data science methodologies with a specific focus on solutions the Financial Services space
 - You possess a proven track record of defining software architecture and designing complex systems that thrive within existing organisational frameworks.
 - You are a natural problem-solver who can navigate challenges across diverse projects and provide authoritative guidance on major initiatives.
 - You have the strategic mindset required to set the technical pulse for high-impact projects and contribute meaningfully to long-term company goals.
 - You excel at communicating complex technical concepts to both peers and customers, earning trust through expertise and clear architectural leadership.
 - You thrive in an entrepreneurial environment, balancing hands-on system design with the ability to direct others toward technical excellence.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</si>
  <si>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ashby|faculty|aafc6889-c160-4172-b5ae-87a3557830d8</t>
  </si>
  <si>
    <t>aafc6889-c160-4172-b5ae-87a3557830d8</t>
  </si>
  <si>
    <t>https://jobs.ashbyhq.com/faculty/aafc6889-c160-4172-b5ae-87a3557830d8</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</si>
  <si>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Senior Data Scientist, you will lead high-impact AI projects and shape the technical direction of bespoke solutions. This role requires hands-on technical excellence combined with crucial team leadership.
You will define data science approaches, design robust software architectures, mentor junior colleagues, and ensure delivery rigor across projects all while building deep client relationships and solidifying our reputation as a leader in practical, measurable AI.
WHAT YOU'LL BE DOING:
 - Mapping the end-to-end data science approach and designing the associated software Leading project teams that deliver bespoke algorithms and high-stakes AI solutions to clients across the sector.
 - Conceiving the core data science approach and designing the associated robust software architecture for new engagements.
 - Mentoring a small number of data scientists and supporting the professional growth of technical team members on projects.
 - Partnering with commercial teams to build client relationships and shape project scope for technical feasibility.
 - Contributing to Faculty’s thought leadership and reputation through delivering courses, public speaking, or open-source projects.
 - Ensuring best practices are followed throughout the project lifecycle to guarantee high-quality, impactful delivery.
WHO WE'RE LOOKING FOR:
 - You possess senior experience in a professional data science position or a quantitative academic field.
 - You demonstrate strong programming skills, with the ability to be a fluent Python programmer, using core libraries (NumPy, Pandas) and a deep-learning framework (e.g., PyTorch).
 - You have a deep expertise in core data science paradigms (supervised/unsupervised, NLP, validation), demonstrating a proficiency across the standard data science toolkit, including the ability to develop new, innovative algorithms.
 - You bring a leadership mindset, focused on growing the technical capabilities of the team and nurturing a collaborative culture.
 - You exhibit commercial awareness, with experience in client-facing work and the ability to translate business problems into a rigorous mathematical framework.
 - You are skilled in project planning, assessing technical feasibility, estimating delivery timelines, and leading a team to deliver high-quality work on a strict schedule.
OUR INTERVIEW PROCESS
 - Talent Team Screen (30 minutes)
 - Take Home Technical Test
 - Technical Interview (90 minutes)
 -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</si>
  <si>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ashby|faculty|b72b42b6-4fdf-4c6e-bee0-96e3cba3a84f</t>
  </si>
  <si>
    <t>b72b42b6-4fdf-4c6e-bee0-96e3cba3a84f</t>
  </si>
  <si>
    <t>https://jobs.ashbyhq.com/faculty/b72b42b6-4fdf-4c6e-bee0-96e3cba3a84f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</si>
  <si>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</si>
  <si>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ashby|faculty|bdbba013-af29-4028-addc-6f3d87ad657a</t>
  </si>
  <si>
    <t>bdbba013-af29-4028-addc-6f3d87ad657a</t>
  </si>
  <si>
    <t>https://jobs.ashbyhq.com/faculty/bdbba013-af29-4028-addc-6f3d87ad657a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</si>
  <si>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ROLE
As a Principal Machine Learning Engineer, you'll serve as the definitive technical authority on ML engineering across the organisation, setting the standard for how we design, build, and scale AI systems. You will own the architectural vision for our most complex and high-stakes programmes, influence engineering strategy at an organisational level, and act as a trusted partner to senior leadership and executive clients.
This role goes beyond leading projects, you are a force multiplier who shapes the engineering culture, elevates the capability of those around you, and ensures our technical foundations are built to last.
WHAT YOU'LL BE DOING:
 - Defining and owning the organisation-wide technical vision for ML engineering, establishing architectural standards and engineering practices that scale across teams and clients.
 - Overseeing the end-to-end delivery of flagship, business-critical ML programmes, spanning multiple workstreams, engineering teams, and client organisations.
 - Driving the strategic adoption of new technologies, platforms, and ways of working, influencing how the entire engineering craft evolves.
 - Cultivating senior engineering talent, coaching leads and managers, building capability pipelines, and embedding a culture of technical rigour and excellence.
 - Acting as the principal technical voice in C-suite and executive client engagements, shaping AI strategy and securing long-term strategic partnerships.
 - Leading on the most significant sales and pre-sales opportunities, providing architectural authority that differentiates our proposition and wins high-value engagements.
 - Partnering with Data Science, Commercial, and Infrastructure leadership to align ML engineering strategy with broader business goals and growth ambitions.
WHO WE'RE LOOKING FOR:
 - You are a recognised ML engineering authority, able to go exceptionally deep across multiple domains and provide definitive technical judgement on the hardest problems.
 - You have mastery of Python and a proven track record of designing and operationalising production-grade ML systems at scale, across multiple frameworks and paradigms.
 - You are an expert across multiple major Cloud Solution Providers and have set the architectural direction for complex, full-stack AI platforms spanning multiple organisations.
 - You have deep expertise in containerisation, orchestration, and MLOps at scale, and have established the standards others follow.
 - You have a proven track record of developing senior engineering talent, coaching leads and managers, building capability, and shaping high-performance engineering cultures.
 - You have a visible external profile, through publications, conference contributions, open-source leadership, or industry influence, that reflects your standing in the field.
 - You operate naturally at the executive level, translating complex ML engineering decisions into commercial outcomes and proactively shaping the strategic direction of client engagements.
OUR INTERVIEW PROCESS
 1. Talent Team Screen (30 minutes)
 2. Introduction to the role (45 minutes)
 3. Pair Programming Interview (90 minutes)
 4. System Design Interview (90 minutes)
 5. Commercial &amp; Leadership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</si>
  <si>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ashby|faculty|c049f0ee-e6fc-43a3-9d45-6dace70ad06a</t>
  </si>
  <si>
    <t>c049f0ee-e6fc-43a3-9d45-6dace70ad06a</t>
  </si>
  <si>
    <t>https://jobs.ashbyhq.com/faculty/c049f0ee-e6fc-43a3-9d45-6dace70ad06a</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</si>
  <si>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Lead Data Scientist, you'll take on a pivotal, entrepreneurial role, functioning as the technical expert who thrives on complexity and commercial impact. You will be responsible for setting the technical direction and ensuring the high-quality, scalable delivery of our most challenging, high-impact projects.
This position combines deep expertise in machine learning with strategic oversight to define project roadmaps, manage technical risk, and architect reliable solutions. Your focus will be on driving innovation, mentoring cross-functional teams, and actively shaping both our technical standards and long-term customer relationships.
WHAT YOU'LL BE DOING:
 - Setting the technical direction for complex, business-critical projects and expertly balancing trade-offs between speed, innovation, and reliability.
 - Designing and implementing reliable, production-grade technical solutions, ensuring comprehensive documentation of architectures and specifications.
 - Defining project problems, developing clear roadmaps, and overseeing end-to-end delivery across multi-disciplinary workstreams.
 - Leading technical scoping and feasibility studies for high-value sales opportunities and strategic customer engagements.
 - Managing relationships and communications with demanding clients, fostering trust and aligning technical solutions with shared long-term commercial goals.
 - Driving the adoption of best practices, shared resources, and robust technical processes across the wider Data Science craft.
 - Mentoring and developing other data scientists and team members, actively contributing to the growth and technical excellence of the organisation.
WHO WE'RE LOOKING FOR:
 - You bring depth of expertise in at least one machine learning domain and strong technical breadth across the entire data science landscape.
 - You are a skilled technical leader, proficient in mentoring individuals, managing teams (including other managers), and rolling out impactful tools and workflows.
 - You have proven project management expertise, capable of dividing complex, ill-defined problems into actionable, clearly defined workstreams with timelines you can defend.
 - You are adept at managing ill-defined, high-risk tasks, consistently delivering innovative and practical outcomes under commercial pressure.
 - You possess strong customer leadership skills, able to act as a trusted technical advisor and drive long-term strategic relationships with demanding clients.
 - You excel at cross-functional collaboration, effectively aligning technical strategy with Engineering, Commercial (BD), and Infrastructure teams.
 - You have experience extending technical oversight to business unit-level initiatives, using your vision to influence and contribute to organisational success.
THE INTERVIEW PROCESS
 1. Talent Team Screen (30 minutes)
 2. Introduction to the team (30 minutes)
 3. Take Home Technical Assessment
 4. Technical Interview (90 minutes)
 5.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</si>
  <si>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ashby|faculty|c601a9d6-deea-4a17-b11c-32a99b9275a4</t>
  </si>
  <si>
    <t>c601a9d6-deea-4a17-b11c-32a99b9275a4</t>
  </si>
  <si>
    <t>https://jobs.ashbyhq.com/faculty/c601a9d6-deea-4a17-b11c-32a99b9275a4</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</si>
  <si>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Public Services Business Unit is committed to leveraging AI for the benefit of individual citizens and the public good.
From our work informing strategic government decisions, to optimising our NHS, through to reducing bureaucratic backlogs - we know that AI offers opportunities to drive improvements at every level of Government and we are proud to lead on some of the most impactful work happening in the sector.
Because of the nature of the work we do with our Government clients, you may need to be eligible for UK Security Clearance (SC) and willing to work on site with these clients from time to time.
ABOUT THE ROLE
Join us as a Machine Learning Engineer to deliver bespoke, impactful AI solutions for our diverse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minutes)
 2. Pair Programming Interview (90 minutes)
 3. System Design Interview (90 minutes)
 4. Commercial Interview (60 minutes)
#LI-PRIO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</si>
  <si>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ashby|faculty|c61dad1a-ac89-4802-9bcc-4e31726a04e0</t>
  </si>
  <si>
    <t>c61dad1a-ac89-4802-9bcc-4e31726a04e0</t>
  </si>
  <si>
    <t>https://jobs.ashbyhq.com/faculty/c61dad1a-ac89-4802-9bcc-4e31726a04e0</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</si>
  <si>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Senior Machine Learning Engineer, we’ll look to you to lead development and deployment of cutting-edge AI systems for our diverse clients. You’ll design, build, and deploy scalable, production-grade ML software and infrastructure that meets rigorous operational and ethical standards.
This is an ambitious, cross-functional role requiring a blend of technical expertise, engineering leadership, and confident client-facing skills.
WHAT YOU'LL BE DOING:
 - Leading technical scoping and architectural decisions for high-impact ML systems
 - Designing and building production-grade ML software, tools, and scalable infrastructure
 - Defining and implementing best practices and standards for deploying machine learning at scale across the business
 - Collaborating with engineers, data scientists, product managers, and commercial teams to solve critical client challenges and leverage opportunities
 - Acting as a trusted technical advisor to customers and partners, translating complex concepts into actionable strategies
 - Mentoring and developing junior engineers, actively shaping our team's engineering culture and technical depth
WHO WE'RE LOOKING FOR:
 - You understand the full ML lifecycle and have significant experience operationalising models built with frameworks like TensorFlow or PyTorch
 - You bring deep expertise in software engineering and strong Python skills, focusing on building robust, reusable systems
 - You have demonstrable hands-on experience with cloud platforms (e.g., AWS, Azure, GCP), including architecture, security, and infrastructure
 - You've extensive experience working with container and orchestration tools such at Docker &amp; Kubernetes to build and manage applications at scale
 - You thrive in fast-paced, high-growth environments, demonstrating ownership and autonomy in driving projects to completion
 - You communicate exceptionally well, confidently guiding both technical teams and senior, non-technical stakeholders
OUR INTERVIEW PROCESS
 1. Talent Team Screen (30 minutes)
 2. Pair Programming Interview (90 minutes)
 3. System Design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</si>
  <si>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ashby|faculty|ddaee792-5e2b-4f87-aa60-761798762de5</t>
  </si>
  <si>
    <t>ddaee792-5e2b-4f87-aa60-761798762de5</t>
  </si>
  <si>
    <t>https://jobs.ashbyhq.com/faculty/ddaee792-5e2b-4f87-aa60-761798762de5</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</si>
  <si>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ABOUT THE ROLE
Join us as a Machine Learning Engineer to deliver bespoke, impactful AI solutions for our diverse Financial Services clients.
You will be instrumental in bringing machine learning out of the lab and into the real world, contributing to scalable software architecture and defining best practices. Working with clients, and cross-functional teams, you'll ensure technical feasibility and timely delivery of high-quality, production-grade ML systems.
WHAT YOU'LL BE DOING:
 - Building and deploying production-grade ML software, tools, and infrastructure.
 - Creating reusable, scalable solutions that accelerate the delivery of ML systems.
 - Collaborating with engineers, data scientists, and commercial leads to solve critical client challenges.
 - Leading technical scoping and architectural decisions to ensure project feasibility and impact.
 - Defining and implementing Faculty’s standards for deploying machine learning at scale.
 - Acting as a technical advisor to customers and partners, translating complex ML concepts for stakeholders.
WHO WE'RE LOOKING FOR:
 - You understand the full machine learning lifecycle and have experience operationalising models built with frameworks like Scikit-learn, TensorFlow, or PyTorch.
 - You possess strong Python skills and solid experience in software engineering best practices.
 - You bring hands-on experience with cloud platforms and infrastructure (e.g., AWS, Azure, GCP), including architecture and security.
 - You've worked with container and orchestration tools such at Docker &amp; Kubernetes to build and manage applications at scale
 - You are comfortable with core ML concepts, including probability, statistics, and common learning techniques.
 - You're an excellent communicator, able to guide technical teams and confidently advise non-technical stakeholders.
 - You thrive in a fast-paced environment, and enjoy the autonomy to own scope, solve and delivery solutions
Our interview process:
 1. Talent Team Screen (30 mins)
 2. Pair Programming Interview (90 mins)
 3. System Design Interview (90 mins)
 4. Commercial Interview (60 mins)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</si>
  <si>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ashby|faculty|efa8d13e-5166-4ae2-bf10-b1392afd3528</t>
  </si>
  <si>
    <t>efa8d13e-5166-4ae2-bf10-b1392afd3528</t>
  </si>
  <si>
    <t xml:space="preserve">Principal Data Scientist </t>
  </si>
  <si>
    <t>https://jobs.ashbyhq.com/faculty/efa8d13e-5166-4ae2-bf10-b1392afd3528</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</si>
  <si>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In our Professional and Financial Services Business unit, we bring everything we have learned in more than a decade of Applied AI, and use it to help our clients navigate a rapidly changing landscape.
We develop and embed AI solutions which help financial institutions become more efficient, enhance customer experience, and find the commercial upside in uncertain markets. Within the constraints of a highly regulated industry, we see so much opportunity for impactful innovation and are proud to set the gold-standard for marrying technical excellence with safe deployment.
#LI-PRIO
ABOUT THE ROLE
As a Principal Data Scientist at Faculty, you will serve as a technical leader and domain expert who owns and drives the delivery of the most technically complex, high-impact projects and programmes for our most important clients. You also will set the technical direction for the data science team, mentor, and develop them so our data scientists remain best in class.
This position focuses on deep individual contribution and technical excellence, influencing the broader data science community at Faculty.
WHAT YOU'LL BE DOING:
 - Serving as a technical authority on machine learning, Generative AI, and other advanced data science methods to deliver innovative and impactful solutions.
 - Leading the development of shared resources, frameworks, and best practices adopted across teams and the company.
 - Contributing to the scoping and bid processes for large-scale, high-stakes projects, influencing client decisions with technical expertise.
 - Owning a portfolio of work within a specific sector, applying expert knowledge to deliver exceptional value to clients.
 - Leading and mentoring project teams and direct reports, ensuring the successful delivery of high-value and complex projects.
 - Acting as a thought leader, publishing papers, and presenting at industry and scientific conferences to amplify a distinctive AI vision for our clients
WHO WE'RE LOOKING FOR:
 - You bring demonstrable technical ability, creativity and flexibility from your extensive experience (in academia , industry or both) as thought leader in this space
 - You’ll have prior experience working in or for financial services clients, with standout examples where you’ve led the delivery of distinctive applications that have driven commercial impact
 - You bring broad knowledge across a range of machine learning techniques, including experience building Generative AI and agentic AI applications with Large Language Models
 - You have advanced coding skills in Python and proven experience building and maintaining scalable codebases.
 - You enjoy mentoring junior colleagues and have prior direct management experience, inspiring them to continually stretch and grow their technical skill.
 - You are highly proficient in strategic problem-solving and communicating solutions to non-technical audiences, able to select appropriate solutions and balance innovation with practical implementation.
THE INTERVIEW PROCESS
 1. Talent Team Screen (30 minutes)
 2. Introduction to Business Unit Director (30 minutes)
 3. Take Home Technical Assessment
 4. Technical Interview (90 minutes)
 5. Commercial &amp; Principles Interview (90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</si>
  <si>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ashby|faculty|fd216949-66f6-4258-9e52-f2067503b75f</t>
  </si>
  <si>
    <t>fd216949-66f6-4258-9e52-f2067503b75f</t>
  </si>
  <si>
    <t xml:space="preserve">Data Scientist </t>
  </si>
  <si>
    <t>https://jobs.ashbyhq.com/faculty/fd216949-66f6-4258-9e52-f2067503b75f</t>
  </si>
  <si>
    <t>WHY FACULTY?
We established Faculty in 2014 because we thought that AI would be the most important technology of our time. Since then, we’ve worked with over 350 global customers to transform their performance through human-centric AI. You can read about our real-world impact here https://faculty.ai/impact.
We don’t chase hype cycles. We innovate, build and deploy responsible AI which moves the needle - and we know a thing or two about doing it well. We bring an unparalleled depth of technical, product and delivery expertise to our clients who span government, finance, retail, energy, life sciences and defence.
Our business, and reputation, is growing fast and we’re always on the lookout for individuals who share our intellectual curiosity and desire to build a positive legacy through technology.
AI is an epoch-defining technology, join a company where you’ll be empowered to envision its most powerful applications, and to make them happen.
ABOUT THE TEAM
Our Defence team is focused on building and embedding human-centered AI solutions which give our nation a competitive edge in the defence sector. We collaborate with our clients to bring ethical, reliable and cutting-edge AI to high-stakes situations and maintain the balance of global powers essential to our liberty.
Because of the nature of the work we do with our Defence clients, you will need to be eligible for UK Security Clearance (SC) and willing to work between 2 to 4 days per week on-site with these customers which may require travel to locations throughout the UK.
When not required on client sites, you’ll have the flexibility to work from our London office or remotely from elsewhere within the UK.
ABOUT THE ROLE:
As a Data Scientist, you will work closely with clients and cross functional teams to define project scope, ensure technical feasibility, and drive delivery excellence.
You’ll design and deliver bespoke data science solutions, shaping the technical direction of high-impact projects and solidifying our reputation as a leader in practical, measurable AI.
WHAT YOU'LL BE DOING:
 - Mapping the end-to-end data science approach and designing the associated software architecture for projects
 - Driving the technical scoping and feasibility assessment of new projects
 - Building strong client relationships by acting as a technical advisor and shaping the direction of current and future engagements
 - Delivering bespoke algorithms and scalable software solutions that adhere to best practices for high-stakes decision-making
 - Setting the technical bar for the project team, ensuring the highest standards of code, rigour, and delivery quality (IC leadership)
 - Contributing to Faculty's thought leadership and reputation through teaching, public speaking, or open-source projects
WHO WE'RE LOOKING FOR:
 - You have proven experience in a professional data science or quantitative academic role, underpinned by high mathematical and statistical competence.
 - You are a strong Python programmer, proficient in essential libraries (NumPy, Pandas) and a deep-learning framework (TensorFlow/PyTorch).
 - You possess a solid grasp of core data science techniques (supervised/unsupervised learning, time-series, NLP, model validation) and the ability to innovate new algorithms.
 - You apply a rigorous scientific and entrepreneurial mindset, translating complex business problems into a mathematical framework and measuring model impact upon deployment.
 - You are an exceptional communicator, adept at translating complex technical solutions into persuasive, actionable insights for senior and non-technical audiences.
 - You contribute to team success by project planning, assessing technical feasibility, estimating delivery timelines, and achieving measurable outcomes.
OUR INTERVIEW PROCESS
 1. Talent Team Screen (30 minutes)
 2. Take Home Technical Assessment
 3. Technical Interview (90 minutes)
 4. Commercial Interview (60 minutes)
OUR RECRUITMENT ETHOS
We aim to grow the best team - not the most similar one. We know that diversity of individuals fosters diversity of thought, and that strengthens our principle of seeking truth. And we know from experience that diverse teams deliver better work, relevant to the world in which we live. We’re united by a deep intellectual curiosity and desire to use our abilities for measurable positive impact. We strongly encourage applications from people of all backgrounds, ethnicities, genders, religions and sexual orientations.
Some of our standout benefits:
 - Unlimited Annual Leave Policy
 - Private healthcare and dental
 - Enhanced parental leave
 - Family-Friendly Flexibility &amp; Flexible working
 - Sanctus Coaching
 - Hybrid Working
If you don’t feel you meet all the requirements, but are excited by the role and know you bring some key strengths, please don't hesitate in applying as you might be right for this role, or other roles. We are open to conversations about part-time hours.</t>
  </si>
  <si>
    <t>greenhouse|amplemarket|4108094101</t>
  </si>
  <si>
    <t>Amplemarket</t>
  </si>
  <si>
    <t>amplemarket</t>
  </si>
  <si>
    <t>4108094101</t>
  </si>
  <si>
    <t>Spontaneous Application - Data Engineer</t>
  </si>
  <si>
    <t>Remote, EMEA/LATAM</t>
  </si>
  <si>
    <t>https://job-boards.eu.greenhouse.io/amplemarket/jobs/4108094101</t>
  </si>
  <si>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</si>
  <si>
    <t>ashby|perplexity|0190699f-010b-44f2-8399-278899fef018</t>
  </si>
  <si>
    <t>Perplexity</t>
  </si>
  <si>
    <t>perplexity</t>
  </si>
  <si>
    <t>0190699f-010b-44f2-8399-278899fef018</t>
  </si>
  <si>
    <t>Member of Technical Staff (Machine Learning Engineer, Search)</t>
  </si>
  <si>
    <t>Belgrade</t>
  </si>
  <si>
    <t>https://jobs.ashbyhq.com/perplexity/0190699f-010b-44f2-8399-278899fef018</t>
  </si>
  <si>
    <t>Perplexity is seeking an experienced Machine Learning Engineer to help build the next generation of advanced search technologies, with a focus on retrieval and ranking.
Responsibilities
 - Relentlessly push search quality forward—through models, data, tools, or any other leverage available
 - Architect and build core components of our search platform and model stack
 - Train and evaluate retrieval, ranking and classification models, including LLMs
 - Deploy models - from boosting to LLMs - in a scalable and performant way
 - Build and optimize RAG pipelines for grounding and answer generation
 - Collaborate with Data, AI, Infrastructure and Product teams to ensure fast and high quality delivery
Qualifications
 - Deep understanding of search and retrieval systems, including quality evaluation principles and metrics
 - Proven track record with large-scale search or recommender systems
 - Self-driven, with a strong sense of ownership and execution
 - Minimum of 5 years of working on search or recsys-related projects</t>
  </si>
  <si>
    <t>ashby|perplexity|4615ca06-bea7-47e3-9e57-f5cee52b75e6</t>
  </si>
  <si>
    <t>4615ca06-bea7-47e3-9e57-f5cee52b75e6</t>
  </si>
  <si>
    <t>Member of Technical Staff (Data Scientist, Evals)</t>
  </si>
  <si>
    <t>San Francisco</t>
  </si>
  <si>
    <t>https://jobs.ashbyhq.com/perplexity/4615ca06-bea7-47e3-9e57-f5cee52b75e6</t>
  </si>
  <si>
    <t>Perplexity serves tens of millions of users daily with reliable, high-quality answers grounded in an LLM-first search engine and our specialized data sources. We aim to use the latest models as they are released, but the intelligence frontier is a jagged one, and popular benchmarks do not effectively cover our use cases. In this role, you will build specialized evals to improve answer quality across Perplexity, covering search-based LLM answers and other scenarios popular with our users.
RESPONSIBILITIES
 - Architect and maintain automated evaluation pipelines to assess answer quality across Perplexity's products, ensuring high standards for accuracy and helpfulness
 - Design evaluation sets and methods specifically to measure the impact of tool calls (particularly web search retrieval) on the final answer's quality
 - Develop VLM-based solutions to programmatically evaluate how final answers render visually across different platforms and devices
 - Continuously review public benchmarks and academic evaluations for their applicability to the Perplexity product, adapting and incorporating them into our regular performance measurements
 - Operate within a small, high-impact team where your evaluation metrics directly shape product changes, collaborating closely with technical leadership to measure and improve Answer Quality
QUALIFICATIONS
 - PhD or MS in a technical field or equivalent experience
 - 4+ years of experience in data science or machine learning
 - Strong proficiency in Python and SQL (expected to write production-grade code)
 - Experience building within a modern cloud data stack, specifically AWS and Databricks
 - Comfortable with agentic coding workflows and using AI-assisted development tools to iterate faster
PREFERRED QUALIFICATIONS
 - 1+ years of experience working with LLMs at scale, specifically with LLM-as-a-judge setups
 - Prior experience working on customer-facing web products or consumer apps, with real user traffic at scale
 - A strong research background, with experience applying research methods to real-world ML problems
 - Experience defining evaluation metrics (e.g., factual consistency, hallucination rate, retrieval precision) and building ground truth datasets</t>
  </si>
  <si>
    <t>ashby|perplexity|768efd34-3854-4c9b-9686-2a128ab35405</t>
  </si>
  <si>
    <t>768efd34-3854-4c9b-9686-2a128ab35405</t>
  </si>
  <si>
    <t>Member of Technical Staff (Data Scientist/Engineer, Online Metrics)</t>
  </si>
  <si>
    <t>New York City</t>
  </si>
  <si>
    <t>https://jobs.ashbyhq.com/perplexity/768efd34-3854-4c9b-9686-2a128ab35405</t>
  </si>
  <si>
    <t>Perplexity serves tens of millions of users daily with reliable, high-quality answers grounded in an LLM-first search engine and specialized data sources. The Answer Quality team ensures that our prompts, tools, search, and specialized datasets, combined with both frontier and in-house models, create the best possible experience for our users. As a Data Scientist/Engineer on this team, you will derive online signals from user interactions to bridge the gap between changes in answer quality and observed user behavior.
RESPONSIBILITIES
 - Discover and validate online signals from user interactions that serve as reliable proxies for true answer quality
 - Design and implement novel online metrics to be tracked both in A/B testing and on product health dashboards, ensuring alignment with ground-truth evaluations
 - Analyze experimental results to validate these metrics, ensuring they accurately predict user satisfaction and drive product decisions
 - Build and maintain the data pipelines that calculate these metrics at scale, delivering actionable quality signals to Search, Product, and model training teams
 - Communicate findings and bring clarity through close collaboration with Product and Search teams
 - Operate in a small, high-impact team where your work directly shapes how Perplexity measures and improves Answer Quality
QUALIFICATIONS
 - MS in a technical field or equivalent experience
 - 4+ years of experience working as a Data Scientist, Analytics Engineer, or related role
 - Experience working on search, recommendation, or LLM-based products, with an emphasis on designing online metrics and analyzing A/B experiments
 - Strong proficiency in Python and SQL (expected to write production-grade code)
 - Deep knowledge of statistical analysis
 - Experience with Business Intelligence (BI) tools for visualization and reporting
 - Comfortable with agentic coding workflows and using AI-assisted development tools to iterate faster
PREFERRED QUALIFICATIONS
 - Proficiency with Apache Spark and Databricks
 - Experience with the development or validation of LLM-as-a-judge systems
 - Prior work supporting customer-facing products at scale</t>
  </si>
  <si>
    <t>ashby|clay labs|31d3597f-400e-4c12-9692-a5fb6f5e0d03</t>
  </si>
  <si>
    <t>Clay Labs</t>
  </si>
  <si>
    <t>claylabs</t>
  </si>
  <si>
    <t>31d3597f-400e-4c12-9692-a5fb6f5e0d03</t>
  </si>
  <si>
    <t>Data Analyst</t>
  </si>
  <si>
    <t>New York</t>
  </si>
  <si>
    <t>https://jobs.ashbyhq.com/claylabs/31d3597f-400e-4c12-9692-a5fb6f5e0d03</t>
  </si>
  <si>
    <t>ABOUT CLAY
Our mission is to help organizations turn any growth idea into reality.
We see growth as a creative practice, not a formula. Finding and reaching your best-fit customers takes unique ideas and constant iteration. As AI makes execution faster and tactics easier to copy, creativity is the only lasting advantage. We're already helping thousands of customers https://clayrun.notion.site/Wall-of-Love-b243f2b67607438b9fad99341e6b8d47 — including Anthropic, Notion, Google, and Ramp — go to market with unique data, signals, and AI research.
In 2025, we raised a $100M Series C https://www.nytimes.com/2025/08/05/business/dealbook/clay-ai-marketing-fundraise.htmlbacked by world-class investors including Sequoia, CapitalG, and First Round — and crossed $100M in revenue.
In 2026, we announced our second employee tender offer https://www.nytimes.com/2026/01/28/business/dealbook/clay-start-up-tender-offers.html in 9 months at a new $5B valuation. We also launched a community equity round https://www.clay.com/blog/community-equity-offering, for our customers, agency partners, and club members.
Some things to know about us:
 - Our community http://community.clay.com includes 11,000+ customers, 150+ integration partners, 125+ agencies, 50+ Clay clubs https://luma.com/claylive, and 30k members on Slack.
 - Our culture https://nextplayso.substack.com/p/spotlight-clay is unique inside and outside of work. Our team members are also DJs, activists, writers, clowns, marathoners, skydivers, psychedelic therapists, social workers, and more.
 - All employees can work for free with world-class coaches who specialize in creativity, management, and more.
 - Our operating principles — including negative maintenance and non-attached action — guide our work. Read more about them here https://cdn.prod.website-files.com/61477f2c24a826836f969afe/685d83a71452245cc1129791_4d770abfd83e276ec15315a2e06945bd_Clay2025_OperatingPrinciples.pdf.
 - Read about us in the NYT https://www.nytimes.com/2025/08/05/business/dealbook/clay-ai-marketing-fundraise.html, Forbes http://google.com/search?q=forbes+clay&amp;rlz=1C5OZZY_enUS1155US1155&amp;oq=forbes+clay&amp;gs_lcrp=EgZjaHJvbWUyBggAEEUYOTIHCAEQABiABDIHCAIQABiABDIHCAMQABiABDIHCAQQABiABDIHCAUQABiABDIHCAYQABiABDIHCAcQABiABDIHCAgQABiABDIHCAkQABiABNIBBzkzM2owajSoAgOwAgHxBVAe8UAxJx_p&amp;sourceid=chrome&amp;ie=UTF-8, First Round Review https://review.firstround.com/podcast/inside-clays-unconventional-path-to-1-25b/, and more https://www.clay.com/press.
Hear from our employees directly on our Glassdoor https://www.glassdoor.com/Overview/Working-at-Clay-EI_IE9850794.11,15.htm page!
DATA @ CLAY
We’re looking for a Data Analyst to help make Clay data-driven from the ground up. You’ll join a team of experienced data scientists and analytics engineers, while partnering closely with Product and Go-to-Market teams to build foundational data models, dashboards, and analyses that teams rely on every day.
This role is ideal for someone earlier in their data career who wants to learn quickly from senior teammates, take on meaningful ownership from day one, and do that work inside one of the fastest-growing AI startups while digging deeply into data to understand why things are happening, not just what is happening.
WHAT YOU’LL DO
 - Build and own analytics data models
   - Write clean, maintainable SQL against Snowflake to power core metrics, dashboards, and analytical workflows.
 - Build and iterate on analytics metrics and tables
   - Build and iterate on metrics and tables in dbt, and surface them through dashboards in Sigma to help teams understand product usage, performance, and change over time.
 - Explore data deeply to answer open-ended questions
   - Use SQL as your primary tool, with Python or R in a notebook environment like Hex when helpful, to investigate trends, anomalies, and product behavior and connect analyses back to real business questions.
 - Help operationalize data
   - Support reverse ETL workflows using Census, helping make modeled data actionable in the tools teams use day-to-day.
 - Translate questions into insight
   - Partner with cross-functional teams to turn ambiguous questions into clear, useful analytical outputs.
WHAT WE’RE LOOKING FOR
 - Strong SQL fundamentals — comfortable with joins, CTEs, window functions, and clear query structure
 - Experience building analytical data models or metrics tables using dbt or similar analytics-engineering workflows
 - Comfortable working with BI tools like Sigma, Looker, Tableau, Mode, or similar
 - Strong analytical intuition — able to ask the right questions, explore data thoughtfully, and synthesize clear, well-reasoned conclusions
 - Clear communicator who can share insights with technical and non-technical partners
 - Deeply curious about product usage and business performance — motivated to go beyond the what to understand the why, without getting lost in rabbit holes
 - 2+ years of full-time work experience in a related role
NICE TO HAVE
 - Experience with Snowflake or other similar cloud data warehousing tools
 - Comfortable using SQL as the primary analysis tool, with the ability to use Python or R when helpful for deeper or more efficient analysis
 - Familiarity with Hex or other notebook-based analysis tools
 - Familiarity with Census or other reverse ETL tools
 - Prior experience in a product-led or B2B SaaS environment</t>
  </si>
  <si>
    <t>greenhouse|hightouch|5718912004</t>
  </si>
  <si>
    <t>Hightouch</t>
  </si>
  <si>
    <t>hightouch</t>
  </si>
  <si>
    <t>5718912004</t>
  </si>
  <si>
    <t>Forward Deployed Marketing Data Scientist</t>
  </si>
  <si>
    <t>Remote (North America)</t>
  </si>
  <si>
    <t>https://job-boards.greenhouse.io/hightouch/jobs/5718912004</t>
  </si>
  <si>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We’re looking for a Forward Deployed Marketing Data Scientist to partner closely with our AI Decisioning customers and internal engineering teams to ensure that AI-driven marketing campaigns deliver measurable, compounding impact. This role is uniquely cross-functional: you’ll spend time diagnosing model behavior, tuning ML levers, analyzing incrementality, exploring customer data, and explaining insights to marketers and executives. Marketing teams come to Hightouch to transform how they operate. Instead of planning campaigns weeks ahead on a calendar, AI Decisioning continuously learns customer preferences and executes 1:1 messaging that adapts in real time. Your mission is to make sure that these AI agents perform at their best—and to help customers understand why they are performing the way they are. You’ll work alongside ML engineers, product managers, Solutions Consultants, and some of the world’s most recognizable brands to improve campaign performance, debug experiments, and identify opportunities for additional lift. Roughly 30% of your time will be customer-facing and 70% deep analytical and modeling work. No two days are the same, but you can expect to: Own diagnostics, insights, and tuning for AI Decisioning campaigns Explain why AI Decisioning is driving lift using counterfactuals, incrementality breakdowns, and cohort analysis. Debug performance issues, iterate on reward functions, and ensure the agent’s recommendations align with customer goals. Investigate experiment setups (send volumes, reachability, channel constraints) and surface actionable recommendations. Work deeply with data in notebooks and customer warehouses Pull down historical data to run exploratory analyses using Polars / Pandas in Jupyter notebooks Modify and improve customer feature matrices to unlock deep personalization. Conduct deeper warehouse-level SQL analyses when insights aren’t available in the UI. Build lightweight tooling that enables scale Create templates, notebooks, scripts, and repeatable workflows that improve how we analyze performance across customers. Identify systemic gaps and influence the direction of ML reporting and introspection. Communicate ML concepts clearly to non-technical stakeholders Present model insights and recommendations to marketers, analysts, and executives. Explain how the decision engine handles cold start, message transfer learning, exploration vs. exploitation, and more. Partner closely with Solutions Consultants to identify and drive new opportunities for uplift. What We’re Looking For Strong ability to perform deep exploratory data analysis in Python (Polars / Pandas, Jupyter notebooks). Ability to write and interpret SQL for customer warehouse analysis. High-level understanding of ML modeling concepts (features, hyperparameters, reward functions, training windows). Excellent communication skills; able to explain technical reasoning simply and confidently to marketers. A customer-first attitude with high ownership and urgency when resolving issues. Bonus Points Experience setting up and analyzing marketing experiments such as A/B, multivariate tests. Prior experience in an applied ML, data science, analytics engineering, or forward-deployed role. Experience building lightweight internal tools or scripting solutions. We are looking for talented, intellectually curious, and motivated individuals who are interested in tackling the problems above. We focus on impact and potential for growth more than years of experience. The salary range for this position is $140,000 - $220,000 USD per year, which is location independent in accordance with our remote-first policy. Interview Process We have limited inbound applications to one application per candidate. You will be auto-rejected if you apply to multiple roles. Please only apply to the position you are most qualified for. Our interview process evaluates the most important dimensions of the role: analytical depth, customer communication, first-principles problem solving, and alignment with Hightouch’s values. Intro Call [15–30m] Introductory call with either a member of our recruiting team or the hiring manager to get to know each other and see if the role could be a good mutual fit. Take Home Data Analysis Exercise + Review Session [45m] You’ll complete a short take-home assignment focused on exploratory data analysis of an example dataset. In the live review, you’ll walk through your approach, explain your reasoning, and present your findings as if you were guiding a customer through your analysis. We’re looking for clarity of communication, rigor of thinking, and the ability to turn data into actionable insights. Experiment Design &amp; Analysis Session [90m] A hands-on session where we collaboratively design and evaluate an experiment end-to-end. This includes: Defining the experimental goal and how success should be measured Identifying the most relevant context and features to use in modeling Interpreting example results and diagnosing performance patterns Recommending next steps and communicating tradeoffs Hiring Manager Interview [30m] Chat with hiring manager about past experiences and future operating preferences to assess fit on company values and operating principles.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</si>
  <si>
    <t>greenhouse|hightouch|5775517004</t>
  </si>
  <si>
    <t>5775517004</t>
  </si>
  <si>
    <t>Head of Machine Learning</t>
  </si>
  <si>
    <t>https://job-boards.greenhouse.io/hightouch/jobs/5775517004</t>
  </si>
  <si>
    <t>About Hightouch Hightouch is an Agentic Marketing Platform powered by the industry-leading Composable CDP. With complete brand context, customer data, and performance history in one place, every marketer finally has the power to build and ship end-to-end campaigns themselves. Teams move faster, stay on brand, and get AI marketing that actually works. Founded in 2019 and headquartered in San Francisco, Hightouch enables marketing teams to analyze performance, brainstorm ideas, and generate creative at a speed and quality that wasn't previously possible. Named a Leader in the 2026 Gartner® Magic Quadrant™ for Customer Data Platforms, Hightouch is trusted by leading enterprises like Domino's, Spotify, Aritzia, Cars.com, Ramp, and PetSmart. At Hightouch, our mission is to help our customers leverage data and AI to grow their businesses. The team is ambitious, impact-driven, efficient — and we believe humility, kindness, and compassion are essential to our success. If you're energized by velocity, obsessed with raising the bar, and want to build alongside people who care deeply about each other and our customers, we'd love to meet you. About the Role We are looking for an engineering leader to lead machine learning efforts across Hightouch.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At Hightouch, our engineering leaders serve as both active technical voices and strong people managers. The key outcomes we are looking for from this role include: Product Development: Lead the team in roadmapping and executing successful development of significant features and products as required to drive the business forward. Uphold a high technical bar, while making pragmatic tradeoffs Pace: Through a combination of leadership and technical expertise, improve the pace of execution of the team Recruiting: Be responsible for growing the team, including identifying needs, deciding how to evaluate candidates, and ensuring we hire high impact team members Reliability: Against the uphill battle of high growth/scale, up-level the team on reliability, resulting in fewer incidents, catching our own issues before our customers do, and a strong incident management hygiene People: Foster growth of team members and ensure strong engagement and motivation Some of the problems we’ll be working on include: Personalization and Product Recommendation : There are often many options for what content a company could message a user with, including which products to show from catalogues. Given this large state space, how can Hightouch help personalize messages with the most relevant content for each user? Probabilistic Identity Resolution: Many of our customers have multiple datasets and sources of information on their users. How do we stitch these datasets together and decide which profiles are from the same user or household? Content Generation : Particularly with recent advances in LLMs, how can we help marketers generate text, images, and creatives that are compelling to their customers? ML Infrastructure: Building the infrastructure to support model training and inference at scale for some of the largest companies in the world. What We Offer We are looking for talented, intellectually curious, and motivated individuals who are interested in tackling the problems above. This is a senior role, but we focus on impact and potential for growth more than years of experience. The salary range for this position is $230,000 - $400,000 USD per year, which is location independent in accordance with our remote-first policy. We also offer meaningful equity compensation in the form of ISO options, and offer early exercise and a 10 year post-termination exercise window. We have limited inbound applications to one application per candidate. You will be auto-rejected if you apply to multiple roles. Please only apply to the position you are most qualified for. E-Verify Statement Hightouch participates in E-Verify. After you join the team, we'll verify your eligibility to work in the U.S. by submitting information from your Form I-9 to the Social Security Administration and, if needed, the Department of Homeland Security. This process happens post-hire only — we never use E-Verify to pre-screen applicants. E-Verify Notice E-Verify Notice (Spanish) Right to Work Notice Right to Work Notice (Spanish)</t>
  </si>
  <si>
    <t>ashby|supabase|e7e19db2-8735-428b-bf22-c7109a3e336a</t>
  </si>
  <si>
    <t>Supabase</t>
  </si>
  <si>
    <t>supabase</t>
  </si>
  <si>
    <t>e7e19db2-8735-428b-bf22-c7109a3e336a</t>
  </si>
  <si>
    <t>Staff Data Analyst, GTM</t>
  </si>
  <si>
    <t>Remote</t>
  </si>
  <si>
    <t>https://jobs.ashbyhq.com/supabase/e7e19db2-8735-428b-bf22-c7109a3e336a</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</si>
  <si>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Staff Data Analyst, GTM to join our Data Intelligence team and help build the analytical foundation that powers Supabase's growing sales org. You'll work closely with Sales, Customer Success, and GTM Ops, helping us connect the dots between systems, data, and strategy -- turning raw signals into trusted data products and actionable insight for GTM leadership.
This role is ideal for someone who thrives in async, fast-paced environments, is AI-forward in how they work, and is excited about building something from the ground up alongside a scaling sales team.
WHAT YOU’LL BE RESPONSIBLE FOR
GTM Data Products
 - Build and own the canonical data products that Sales, CS, and GTM Ops rely on -- ARR, pipeline, account health, expansion signals, and renewal tracking
 - Define and document GTM metric standards so the whole org is working from consistent definitions
 - Build and maintain the underlying data models that power GTM reporting and analysis
Stakeholder Partnership
 - Serve as the dedicated analytical resource for Sales, Customer Success, and GTM Ops leadership
 - Translate business questions into clean analytical specs and deliver decision-ready findings
 - Build self-service tools and context layers that enable GTM teams to answer their own questions -- the goal is scale, not dependency
 - Own the GTM analytics function end-to-end, from data model to business strategy
Systems and Data Connectivity
 - Connect the dots between CRM, product usage, and billing data to give GTM teams a complete picture of the customer
 - Identify gaps and inconsistencies across systems and work cross-functionally to resolve them
AI-Powered Analysis
 - Use AI tools to accelerate analysis, increase output, and go deeper than a traditional analyst workflow allows
 - Help establish AI-forward ways of working within the Data Intelligence team and model that approach for the broader GTM org
YOU MIGHT BE A GOOD FIT IF YOU
 - Have 6+ years in analytics with meaningful time directly supporting Sales, Customer Success, or GTM Ops
 - Have built data models and BI layers from scratch, not just consumed them -- you understand the full stack from raw source data to business-facing output
 - Are comfortable working with CRM, product usage, and billing data and know how to connect them into a coherent picture of the customer
 - Have experience in a PLG or usage-based business and understand how self-serve signals translate into sales motion
 - Think in terms of self-service and scale -- your instinct is to build tools that make GTM teams independently capable, not to become a bottleneck
 - Can hold both the technical and strategic context at once -- you're as comfortable in a data model as you are in a conversation about territory design or expansion strategy
 - Are AI-forward in how you work -- you use LLMs and AI tooling habitually and have a clear point of view on how it changes what an analyst can do
 - Communicate insights clearly to non-technical stakeholders and know how to make data land in a business conversation
 - Thrive in async, autonomous environments and are energized by building something from the ground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</si>
  <si>
    <t>ashby|supabase|44f6de1c-0fdc-4d46-aa3e-7d57b8be38b2</t>
  </si>
  <si>
    <t>44f6de1c-0fdc-4d46-aa3e-7d57b8be38b2</t>
  </si>
  <si>
    <t>Senior Data Engineer</t>
  </si>
  <si>
    <t>https://jobs.ashbyhq.com/supabase/44f6de1c-0fdc-4d46-aa3e-7d57b8be38b2</t>
  </si>
  <si>
    <t>ABOUT SUPABASE
Supabase is the Postgres development platform, built by developers for developers. We provide a complete backend solution including Database, Auth, Storage, Edge Functions, Realtime, and Vector Search. All services are deeply integrated and designed for growth.
ABOUT THE ROLE
We're looking for a Senior Data Engineer to join our Data team and own data systems end to end, from the raw source all the way to the analysis that drives decisions. You'll report to the Lead Data Engineer and work closely with growth, finance, and product, helping the whole company understand what's happening and why.
This is a wide role. You'll build and operate the pipelines, model the data, manage the infrastructure, and deliver the analysis yourself. We're scaling fast, so the systems you build need to hold up when the data multiplies. If you like owning the full picture instead of a single layer, this is for you.
At Supabase, data runs the company. Growth bets, billing, and product decisions all ride on the pipelines and models the Data team owns, across multi-terabyte tables and billions of events that grow every week. This role is for someone who wants to own that, not just report on it.
WHAT YOU'LL BE RESPONSIBLE FOR
In this role, you'll:
 - Own data from source to delivery. Design ingestion from source systems into BigQuery with Airflow (Cloud Composer), Dataflow, and Python loaders; model it in dbt; and deliver the analysis in Hex. No handoffs, no "that's not my layer."
 - Build for 10x. We're growing fast, and the data is growing with us. Every pipeline and model you ship should survive the volume multiplying in the next few months. Reliability, cost, and partition strategy are part of the design, not an afterthought.
 - Explain what's driving the numbers. When a metric moves, you find out why. You can trace a number from a Hex dashboard back through the dbt models to the raw source and tell the business what actually pushed it up or down.
 - Work AI-first, and own the output. You lean hard on modern AI tooling (coding agents, LLMs) to move faster across the whole stack, but you stay accountable for what lands in production. You know the difference between letting AI draft and letting AI decide, and you keep correctness, cost, and ownership in your own hands. This matters a lot to us.
 - Partner directly with business teams. You don't wait for tickets. You understand what growth, finance, and product are trying to learn, get ahead of it, and translate messy questions into models and answers they can trust.
 - Manage infrastructure as code. Provision and evolve the data platform with Pulumi, and treat the pipeline as a production system you're on the hook for.
 - Stay on the frontier. You actively track what's new in data engineering and AI, and you bring the good tools in instead of waiting for someone to tell you about them.
YOU MIGHT BE A GOOD FIT IF YOU
 - Have 5+ years building and operating production data pipelines and warehouses
 - Are deep with our stack or close equivalents: GCP, BigQuery, dbt, Airflow, Dataflow, Metaplane, Hex, and infrastructure as code (Pulumi or Terraform)
 - Write strong SQL and can both build the pipeline and read the metric. You're an engineer who can do analysis, not one or the other
 - Already build AI into how you work day to day, and have a clear sense of where a human has to stay in the loop
 - Communicate clearly with non-technical stakeholders and chase down what they actually need
 - Are comfortable navigating ambiguity, moving quickly, and designing for scale from the start
 - Are genuinely passionate about data, with the track record to back it up
WHAT WE OFFER
 - Fully Remote
   We hire globally. We believe you can do your best work from anywhere. There are no Supabase offices, but we provide a WeWork membership or co-working allowance you can use anywhere in the world.
 - ESOP
   Every team member receives ESOP (equity ownership) in the company. We want everyone to share in the upside of what we’re building together.
 - Tech Allowance
   Use this budget to set up your ideal work environment—laptop, monitor, headphones, or whatever helps you do your best work.
 - Health Benefits
   Supabase covers 100% of health insurance for employees and 80% for dependents, wherever you are. Your wellbeing and your family’s health are important to us.
 - Annual Off-Sites
   Once a year, the entire company gathers in a new city for a week of connection, collaboration, and fun. It’s a highlight of our year.
 - Flexible Work
   We operate asynchronously and trust you to manage your own time. You know what needs to be done and when.
 - Professional Development
   Every team member receives an annual education allowance to spend on learning—courses, books, conferences, or anything that supports your growth.
ABOUT THE TEAM
Supabase was born-remote and open-source-first. We believe our globally distributed team is our secret weapon in building tools developers love.
 - 280+ team members
 - 55+ countries
 - 20+ languages spoken
 - $500M raised
 - 500,000+ community members
We move fast, build in public, and use what we ship. If it’s in your project, we probably use it in ours too. We believe deeply in the open-source ecosystem and strive to support—not replace—existing tools and communities.
HIRING PROCESS
We keep things simple, async-friendly, and respectful of your time:
 1. Apply – Our team will review your application.
 2. Intro Call – A short video chat to get to know each other.
 3. Interviews – Up to four calls with:
    - Team Leads
    - Future teammates
    - Someone cross-functional from product, growth, or engineering (depending on the role)
    - Someone from our leadership/founding team
 4. Decision – We may follow up with a final question or go straight to offer.
All communication is remote and we aim to move fast.</t>
  </si>
  <si>
    <t>Rem_Hyb</t>
  </si>
  <si>
    <t>Unique?</t>
  </si>
</sst>
</file>

<file path=xl/styles.xml><?xml version="1.0" encoding="utf-8"?>
<styleSheet xmlns="http://schemas.openxmlformats.org/spreadsheetml/2006/main" xmlns:mc="http://schemas.openxmlformats.org/markup-compatibility/2006" xmlns:x14ac="http://schemas.microsoft.com/office/spreadsheetml/2009/9/ac" mc:Ignorable="x14ac">
  <fonts count="2">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2" borderId="0" xfId="0" applyFill="1"/>
    <xf numFmtId="0" fontId="1" fillId="0" borderId="2" xfId="0" applyFont="1" applyFill="1" applyBorder="1" applyAlignment="1">
      <alignment horizontal="center" vertical="top"/>
    </xf>
    <xf numFmtId="0" fontId="1" fillId="0" borderId="3"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O127"/>
  <sheetViews>
    <sheetView tabSelected="1" workbookViewId="0">
      <pane ySplit="1" topLeftCell="A2" activePane="bottomLeft" state="frozen"/>
      <selection pane="bottomLeft" activeCell="B45" sqref="B45"/>
    </sheetView>
  </sheetViews>
  <sheetFormatPr defaultRowHeight="14.4"/>
  <sheetData>
    <row r="1" spans="1:15">
      <c r="A1" s="4" t="s">
        <v>704</v>
      </c>
      <c r="B1" s="1" t="s">
        <v>0</v>
      </c>
      <c r="C1" s="1" t="s">
        <v>1</v>
      </c>
      <c r="D1" s="1" t="s">
        <v>2</v>
      </c>
      <c r="E1" s="1" t="s">
        <v>3</v>
      </c>
      <c r="F1" s="1" t="s">
        <v>4</v>
      </c>
      <c r="G1" s="1" t="s">
        <v>5</v>
      </c>
      <c r="H1" s="1" t="s">
        <v>6</v>
      </c>
      <c r="I1" s="1" t="s">
        <v>7</v>
      </c>
      <c r="J1" s="1" t="s">
        <v>8</v>
      </c>
      <c r="K1" s="1" t="s">
        <v>9</v>
      </c>
      <c r="L1" s="1" t="s">
        <v>10</v>
      </c>
      <c r="M1" s="1" t="s">
        <v>11</v>
      </c>
      <c r="N1" s="3" t="s">
        <v>703</v>
      </c>
    </row>
    <row r="2" spans="1:15" hidden="1">
      <c r="A2">
        <f t="array" ref="A2">SUM((B2=$B$2:$B$127)*1)</f>
        <v>1</v>
      </c>
      <c r="B2" t="s">
        <v>12</v>
      </c>
      <c r="C2" t="s">
        <v>13</v>
      </c>
      <c r="D2" t="s">
        <v>14</v>
      </c>
      <c r="E2" t="s">
        <v>15</v>
      </c>
      <c r="F2" t="s">
        <v>16</v>
      </c>
      <c r="G2" t="s">
        <v>17</v>
      </c>
      <c r="H2" t="s">
        <v>18</v>
      </c>
      <c r="I2">
        <v>1</v>
      </c>
      <c r="J2">
        <v>0</v>
      </c>
      <c r="K2" t="s">
        <v>19</v>
      </c>
      <c r="L2" t="s">
        <v>20</v>
      </c>
      <c r="M2">
        <v>0</v>
      </c>
      <c r="N2">
        <f>I2+J2</f>
        <v>1</v>
      </c>
      <c r="O2" t="b">
        <f t="array" ref="O2">OR(B2=Hist!$A$1:$A$85)</f>
        <v>1</v>
      </c>
    </row>
    <row r="3" spans="1:15" hidden="1">
      <c r="A3">
        <f t="array" ref="A3">SUM((B3=$B$2:$B$127)*1)</f>
        <v>1</v>
      </c>
      <c r="B3" t="s">
        <v>21</v>
      </c>
      <c r="C3" t="s">
        <v>13</v>
      </c>
      <c r="D3" t="s">
        <v>14</v>
      </c>
      <c r="E3" t="s">
        <v>15</v>
      </c>
      <c r="F3" t="s">
        <v>22</v>
      </c>
      <c r="G3" t="s">
        <v>23</v>
      </c>
      <c r="H3" t="s">
        <v>18</v>
      </c>
      <c r="I3">
        <v>1</v>
      </c>
      <c r="J3">
        <v>0</v>
      </c>
      <c r="K3" t="s">
        <v>24</v>
      </c>
      <c r="L3" t="s">
        <v>25</v>
      </c>
      <c r="M3">
        <v>0</v>
      </c>
      <c r="N3">
        <f t="shared" ref="N3:N66" si="0">I3+J3</f>
        <v>1</v>
      </c>
      <c r="O3" t="b">
        <f t="array" ref="O3">OR(B3=Hist!$A$1:$A$85)</f>
        <v>1</v>
      </c>
    </row>
    <row r="4" spans="1:15" hidden="1">
      <c r="A4">
        <f t="array" ref="A4">SUM((B4=$B$2:$B$127)*1)</f>
        <v>1</v>
      </c>
      <c r="B4" t="s">
        <v>26</v>
      </c>
      <c r="C4" t="s">
        <v>13</v>
      </c>
      <c r="D4" t="s">
        <v>14</v>
      </c>
      <c r="E4" t="s">
        <v>15</v>
      </c>
      <c r="F4" t="s">
        <v>27</v>
      </c>
      <c r="G4" t="s">
        <v>28</v>
      </c>
      <c r="H4" t="s">
        <v>18</v>
      </c>
      <c r="I4">
        <v>1</v>
      </c>
      <c r="J4">
        <v>0</v>
      </c>
      <c r="K4" t="s">
        <v>29</v>
      </c>
      <c r="L4" t="s">
        <v>30</v>
      </c>
      <c r="M4">
        <v>0</v>
      </c>
      <c r="N4">
        <f t="shared" si="0"/>
        <v>1</v>
      </c>
      <c r="O4" t="b">
        <f t="array" ref="O4">OR(B4=Hist!$A$1:$A$85)</f>
        <v>1</v>
      </c>
    </row>
    <row r="5" spans="1:15" hidden="1">
      <c r="A5">
        <f t="array" ref="A5">SUM((B5=$B$2:$B$127)*1)</f>
        <v>1</v>
      </c>
      <c r="B5" t="s">
        <v>31</v>
      </c>
      <c r="C5" t="s">
        <v>13</v>
      </c>
      <c r="D5" t="s">
        <v>14</v>
      </c>
      <c r="E5" t="s">
        <v>15</v>
      </c>
      <c r="F5" t="s">
        <v>32</v>
      </c>
      <c r="G5" t="s">
        <v>33</v>
      </c>
      <c r="H5" t="s">
        <v>18</v>
      </c>
      <c r="I5">
        <v>1</v>
      </c>
      <c r="J5">
        <v>0</v>
      </c>
      <c r="K5" t="s">
        <v>34</v>
      </c>
      <c r="L5" t="s">
        <v>35</v>
      </c>
      <c r="M5">
        <v>0</v>
      </c>
      <c r="N5">
        <f t="shared" si="0"/>
        <v>1</v>
      </c>
      <c r="O5" t="b">
        <f t="array" ref="O5">OR(B5=Hist!$A$1:$A$85)</f>
        <v>1</v>
      </c>
    </row>
    <row r="6" spans="1:15" hidden="1">
      <c r="A6">
        <f t="array" ref="A6">SUM((B6=$B$2:$B$127)*1)</f>
        <v>1</v>
      </c>
      <c r="B6" t="s">
        <v>36</v>
      </c>
      <c r="C6" t="s">
        <v>13</v>
      </c>
      <c r="D6" t="s">
        <v>14</v>
      </c>
      <c r="E6" t="s">
        <v>15</v>
      </c>
      <c r="F6" t="s">
        <v>37</v>
      </c>
      <c r="G6" t="s">
        <v>38</v>
      </c>
      <c r="H6" t="s">
        <v>18</v>
      </c>
      <c r="I6">
        <v>1</v>
      </c>
      <c r="J6">
        <v>0</v>
      </c>
      <c r="K6" t="s">
        <v>39</v>
      </c>
      <c r="L6" t="s">
        <v>40</v>
      </c>
      <c r="M6">
        <v>0</v>
      </c>
      <c r="N6">
        <f t="shared" si="0"/>
        <v>1</v>
      </c>
      <c r="O6" t="b">
        <f t="array" ref="O6">OR(B6=Hist!$A$1:$A$85)</f>
        <v>1</v>
      </c>
    </row>
    <row r="7" spans="1:15" hidden="1">
      <c r="A7">
        <f t="array" ref="A7">SUM((B7=$B$2:$B$127)*1)</f>
        <v>1</v>
      </c>
      <c r="B7" t="s">
        <v>41</v>
      </c>
      <c r="C7" t="s">
        <v>42</v>
      </c>
      <c r="D7" t="s">
        <v>43</v>
      </c>
      <c r="E7" t="s">
        <v>44</v>
      </c>
      <c r="F7" t="s">
        <v>45</v>
      </c>
      <c r="G7" t="s">
        <v>46</v>
      </c>
      <c r="H7" t="s">
        <v>47</v>
      </c>
      <c r="I7">
        <v>1</v>
      </c>
      <c r="J7">
        <v>0</v>
      </c>
      <c r="K7" t="s">
        <v>48</v>
      </c>
      <c r="L7" t="s">
        <v>49</v>
      </c>
      <c r="M7">
        <v>0</v>
      </c>
      <c r="N7">
        <f t="shared" si="0"/>
        <v>1</v>
      </c>
      <c r="O7" t="b">
        <f t="array" ref="O7">OR(B7=Hist!$A$1:$A$85)</f>
        <v>1</v>
      </c>
    </row>
    <row r="8" spans="1:15" hidden="1">
      <c r="A8">
        <f t="array" ref="A8">SUM((B8=$B$2:$B$127)*1)</f>
        <v>1</v>
      </c>
      <c r="B8" t="s">
        <v>50</v>
      </c>
      <c r="C8" t="s">
        <v>42</v>
      </c>
      <c r="D8" t="s">
        <v>43</v>
      </c>
      <c r="E8" t="s">
        <v>44</v>
      </c>
      <c r="F8" t="s">
        <v>51</v>
      </c>
      <c r="G8" t="s">
        <v>52</v>
      </c>
      <c r="H8" t="s">
        <v>47</v>
      </c>
      <c r="I8">
        <v>1</v>
      </c>
      <c r="J8">
        <v>0</v>
      </c>
      <c r="K8" t="s">
        <v>53</v>
      </c>
      <c r="L8" t="s">
        <v>54</v>
      </c>
      <c r="M8">
        <v>0</v>
      </c>
      <c r="N8">
        <f t="shared" si="0"/>
        <v>1</v>
      </c>
      <c r="O8" t="b">
        <f t="array" ref="O8">OR(B8=Hist!$A$1:$A$85)</f>
        <v>1</v>
      </c>
    </row>
    <row r="9" spans="1:15" hidden="1">
      <c r="A9">
        <f t="array" ref="A9">SUM((B9=$B$2:$B$127)*1)</f>
        <v>1</v>
      </c>
      <c r="B9" t="s">
        <v>55</v>
      </c>
      <c r="C9" t="s">
        <v>42</v>
      </c>
      <c r="D9" t="s">
        <v>43</v>
      </c>
      <c r="E9" t="s">
        <v>44</v>
      </c>
      <c r="F9" t="s">
        <v>56</v>
      </c>
      <c r="G9" t="s">
        <v>57</v>
      </c>
      <c r="H9" t="s">
        <v>47</v>
      </c>
      <c r="I9">
        <v>1</v>
      </c>
      <c r="J9">
        <v>0</v>
      </c>
      <c r="K9" t="s">
        <v>58</v>
      </c>
      <c r="L9" t="s">
        <v>59</v>
      </c>
      <c r="M9">
        <v>0</v>
      </c>
      <c r="N9">
        <f t="shared" si="0"/>
        <v>1</v>
      </c>
      <c r="O9" t="b">
        <f t="array" ref="O9">OR(B9=Hist!$A$1:$A$85)</f>
        <v>1</v>
      </c>
    </row>
    <row r="10" spans="1:15" hidden="1">
      <c r="A10">
        <f t="array" ref="A10">SUM((B10=$B$2:$B$127)*1)</f>
        <v>1</v>
      </c>
      <c r="B10" t="s">
        <v>60</v>
      </c>
      <c r="C10" t="s">
        <v>13</v>
      </c>
      <c r="D10" t="s">
        <v>61</v>
      </c>
      <c r="E10" t="s">
        <v>62</v>
      </c>
      <c r="F10" t="s">
        <v>63</v>
      </c>
      <c r="G10" t="s">
        <v>64</v>
      </c>
      <c r="H10" t="s">
        <v>65</v>
      </c>
      <c r="I10">
        <v>0</v>
      </c>
      <c r="J10">
        <v>0</v>
      </c>
      <c r="K10" t="s">
        <v>66</v>
      </c>
      <c r="L10" t="s">
        <v>67</v>
      </c>
      <c r="M10">
        <v>0</v>
      </c>
      <c r="N10">
        <f t="shared" si="0"/>
        <v>0</v>
      </c>
      <c r="O10" t="b">
        <f t="array" ref="O10">OR(B10=Hist!$A$1:$A$85)</f>
        <v>0</v>
      </c>
    </row>
    <row r="11" spans="1:15" hidden="1">
      <c r="A11">
        <f t="array" ref="A11">SUM((B11=$B$2:$B$127)*1)</f>
        <v>1</v>
      </c>
      <c r="B11" t="s">
        <v>68</v>
      </c>
      <c r="C11" t="s">
        <v>13</v>
      </c>
      <c r="D11" t="s">
        <v>61</v>
      </c>
      <c r="E11" t="s">
        <v>62</v>
      </c>
      <c r="F11" t="s">
        <v>69</v>
      </c>
      <c r="G11" t="s">
        <v>70</v>
      </c>
      <c r="H11" t="s">
        <v>71</v>
      </c>
      <c r="I11">
        <v>0</v>
      </c>
      <c r="J11">
        <v>0</v>
      </c>
      <c r="K11" t="s">
        <v>72</v>
      </c>
      <c r="L11" t="s">
        <v>73</v>
      </c>
      <c r="M11">
        <v>0</v>
      </c>
      <c r="N11">
        <f t="shared" si="0"/>
        <v>0</v>
      </c>
      <c r="O11" t="b">
        <f t="array" ref="O11">OR(B11=Hist!$A$1:$A$85)</f>
        <v>0</v>
      </c>
    </row>
    <row r="12" spans="1:15" hidden="1">
      <c r="A12">
        <f t="array" ref="A12">SUM((B12=$B$2:$B$127)*1)</f>
        <v>1</v>
      </c>
      <c r="B12" t="s">
        <v>74</v>
      </c>
      <c r="C12" t="s">
        <v>13</v>
      </c>
      <c r="D12" t="s">
        <v>61</v>
      </c>
      <c r="E12" t="s">
        <v>62</v>
      </c>
      <c r="F12" t="s">
        <v>75</v>
      </c>
      <c r="G12" t="s">
        <v>76</v>
      </c>
      <c r="H12" t="s">
        <v>71</v>
      </c>
      <c r="I12">
        <v>0</v>
      </c>
      <c r="J12">
        <v>0</v>
      </c>
      <c r="K12" t="s">
        <v>77</v>
      </c>
      <c r="L12" t="s">
        <v>78</v>
      </c>
      <c r="M12">
        <v>0</v>
      </c>
      <c r="N12">
        <f t="shared" si="0"/>
        <v>0</v>
      </c>
      <c r="O12" t="b">
        <f t="array" ref="O12">OR(B12=Hist!$A$1:$A$85)</f>
        <v>0</v>
      </c>
    </row>
    <row r="13" spans="1:15" hidden="1">
      <c r="A13">
        <f t="array" ref="A13">SUM((B13=$B$2:$B$127)*1)</f>
        <v>1</v>
      </c>
      <c r="B13" t="s">
        <v>79</v>
      </c>
      <c r="C13" t="s">
        <v>13</v>
      </c>
      <c r="D13" t="s">
        <v>80</v>
      </c>
      <c r="E13" t="s">
        <v>81</v>
      </c>
      <c r="F13" t="s">
        <v>82</v>
      </c>
      <c r="G13" t="s">
        <v>83</v>
      </c>
      <c r="H13" t="s">
        <v>84</v>
      </c>
      <c r="I13">
        <v>1</v>
      </c>
      <c r="J13">
        <v>0</v>
      </c>
      <c r="K13" t="s">
        <v>85</v>
      </c>
      <c r="L13" t="s">
        <v>86</v>
      </c>
      <c r="M13">
        <v>0</v>
      </c>
      <c r="N13">
        <f t="shared" si="0"/>
        <v>1</v>
      </c>
      <c r="O13" t="b">
        <f t="array" ref="O13">OR(B13=Hist!$A$1:$A$85)</f>
        <v>1</v>
      </c>
    </row>
    <row r="14" spans="1:15" hidden="1">
      <c r="A14">
        <f t="array" ref="A14">SUM((B14=$B$2:$B$127)*1)</f>
        <v>1</v>
      </c>
      <c r="B14" t="s">
        <v>87</v>
      </c>
      <c r="C14" t="s">
        <v>13</v>
      </c>
      <c r="D14" t="s">
        <v>80</v>
      </c>
      <c r="E14" t="s">
        <v>81</v>
      </c>
      <c r="F14" t="s">
        <v>88</v>
      </c>
      <c r="G14" t="s">
        <v>89</v>
      </c>
      <c r="H14" t="s">
        <v>90</v>
      </c>
      <c r="I14">
        <v>1</v>
      </c>
      <c r="J14">
        <v>0</v>
      </c>
      <c r="K14" t="s">
        <v>91</v>
      </c>
      <c r="L14" t="s">
        <v>92</v>
      </c>
      <c r="M14">
        <v>0</v>
      </c>
      <c r="N14">
        <f t="shared" si="0"/>
        <v>1</v>
      </c>
      <c r="O14" t="b">
        <f t="array" ref="O14">OR(B14=Hist!$A$1:$A$85)</f>
        <v>1</v>
      </c>
    </row>
    <row r="15" spans="1:15" hidden="1">
      <c r="A15">
        <f t="array" ref="A15">SUM((B15=$B$2:$B$127)*1)</f>
        <v>1</v>
      </c>
      <c r="B15" t="s">
        <v>93</v>
      </c>
      <c r="C15" t="s">
        <v>13</v>
      </c>
      <c r="D15" t="s">
        <v>80</v>
      </c>
      <c r="E15" t="s">
        <v>81</v>
      </c>
      <c r="F15" t="s">
        <v>94</v>
      </c>
      <c r="G15" t="s">
        <v>95</v>
      </c>
      <c r="H15" t="s">
        <v>96</v>
      </c>
      <c r="I15">
        <v>1</v>
      </c>
      <c r="J15">
        <v>0</v>
      </c>
      <c r="K15" t="s">
        <v>97</v>
      </c>
      <c r="L15" t="s">
        <v>98</v>
      </c>
      <c r="M15">
        <v>0</v>
      </c>
      <c r="N15">
        <f t="shared" si="0"/>
        <v>1</v>
      </c>
      <c r="O15" t="b">
        <f t="array" ref="O15">OR(B15=Hist!$A$1:$A$85)</f>
        <v>1</v>
      </c>
    </row>
    <row r="16" spans="1:15" hidden="1">
      <c r="A16">
        <f t="array" ref="A16">SUM((B16=$B$2:$B$127)*1)</f>
        <v>1</v>
      </c>
      <c r="B16" t="s">
        <v>99</v>
      </c>
      <c r="C16" t="s">
        <v>13</v>
      </c>
      <c r="D16" t="s">
        <v>80</v>
      </c>
      <c r="E16" t="s">
        <v>81</v>
      </c>
      <c r="F16" t="s">
        <v>100</v>
      </c>
      <c r="G16" t="s">
        <v>95</v>
      </c>
      <c r="H16" t="s">
        <v>101</v>
      </c>
      <c r="I16">
        <v>0</v>
      </c>
      <c r="J16">
        <v>0</v>
      </c>
      <c r="K16" t="s">
        <v>102</v>
      </c>
      <c r="L16" t="s">
        <v>98</v>
      </c>
      <c r="M16">
        <v>0</v>
      </c>
      <c r="N16">
        <f t="shared" si="0"/>
        <v>0</v>
      </c>
      <c r="O16" t="b">
        <f t="array" ref="O16">OR(B16=Hist!$A$1:$A$85)</f>
        <v>0</v>
      </c>
    </row>
    <row r="17" spans="1:15" hidden="1">
      <c r="A17">
        <f t="array" ref="A17">SUM((B17=$B$2:$B$127)*1)</f>
        <v>1</v>
      </c>
      <c r="B17" t="s">
        <v>103</v>
      </c>
      <c r="C17" t="s">
        <v>13</v>
      </c>
      <c r="D17" t="s">
        <v>80</v>
      </c>
      <c r="E17" t="s">
        <v>81</v>
      </c>
      <c r="F17" t="s">
        <v>104</v>
      </c>
      <c r="G17" t="s">
        <v>105</v>
      </c>
      <c r="H17" t="s">
        <v>106</v>
      </c>
      <c r="I17">
        <v>0</v>
      </c>
      <c r="J17">
        <v>0</v>
      </c>
      <c r="K17" t="s">
        <v>107</v>
      </c>
      <c r="L17" t="s">
        <v>108</v>
      </c>
      <c r="M17">
        <v>0</v>
      </c>
      <c r="N17">
        <f t="shared" si="0"/>
        <v>0</v>
      </c>
      <c r="O17" t="b">
        <f t="array" ref="O17">OR(B17=Hist!$A$1:$A$85)</f>
        <v>0</v>
      </c>
    </row>
    <row r="18" spans="1:15" hidden="1">
      <c r="A18">
        <f t="array" ref="A18">SUM((B18=$B$2:$B$127)*1)</f>
        <v>1</v>
      </c>
      <c r="B18" t="s">
        <v>109</v>
      </c>
      <c r="C18" t="s">
        <v>13</v>
      </c>
      <c r="D18" t="s">
        <v>80</v>
      </c>
      <c r="E18" t="s">
        <v>81</v>
      </c>
      <c r="F18" t="s">
        <v>110</v>
      </c>
      <c r="G18" t="s">
        <v>111</v>
      </c>
      <c r="H18" t="s">
        <v>106</v>
      </c>
      <c r="I18">
        <v>0</v>
      </c>
      <c r="J18">
        <v>0</v>
      </c>
      <c r="K18" t="s">
        <v>112</v>
      </c>
      <c r="L18" t="s">
        <v>113</v>
      </c>
      <c r="M18">
        <v>0</v>
      </c>
      <c r="N18">
        <f t="shared" si="0"/>
        <v>0</v>
      </c>
      <c r="O18" t="b">
        <f t="array" ref="O18">OR(B18=Hist!$A$1:$A$85)</f>
        <v>0</v>
      </c>
    </row>
    <row r="19" spans="1:15" hidden="1">
      <c r="A19">
        <f t="array" ref="A19">SUM((B19=$B$2:$B$127)*1)</f>
        <v>1</v>
      </c>
      <c r="B19" t="s">
        <v>114</v>
      </c>
      <c r="C19" t="s">
        <v>13</v>
      </c>
      <c r="D19" t="s">
        <v>80</v>
      </c>
      <c r="E19" t="s">
        <v>81</v>
      </c>
      <c r="F19" t="s">
        <v>115</v>
      </c>
      <c r="G19" t="s">
        <v>116</v>
      </c>
      <c r="H19" t="s">
        <v>117</v>
      </c>
      <c r="I19">
        <v>1</v>
      </c>
      <c r="J19">
        <v>0</v>
      </c>
      <c r="K19" t="s">
        <v>118</v>
      </c>
      <c r="L19" t="s">
        <v>119</v>
      </c>
      <c r="M19">
        <v>0</v>
      </c>
      <c r="N19">
        <f t="shared" si="0"/>
        <v>1</v>
      </c>
      <c r="O19" t="b">
        <f t="array" ref="O19">OR(B19=Hist!$A$1:$A$85)</f>
        <v>1</v>
      </c>
    </row>
    <row r="20" spans="1:15" hidden="1">
      <c r="A20">
        <f t="array" ref="A20">SUM((B20=$B$2:$B$127)*1)</f>
        <v>1</v>
      </c>
      <c r="B20" t="s">
        <v>120</v>
      </c>
      <c r="C20" t="s">
        <v>13</v>
      </c>
      <c r="D20" t="s">
        <v>80</v>
      </c>
      <c r="E20" t="s">
        <v>81</v>
      </c>
      <c r="F20" t="s">
        <v>121</v>
      </c>
      <c r="G20" t="s">
        <v>122</v>
      </c>
      <c r="H20" t="s">
        <v>123</v>
      </c>
      <c r="I20">
        <v>1</v>
      </c>
      <c r="J20">
        <v>0</v>
      </c>
      <c r="K20" t="s">
        <v>124</v>
      </c>
      <c r="L20" t="s">
        <v>125</v>
      </c>
      <c r="M20">
        <v>0</v>
      </c>
      <c r="N20">
        <f t="shared" si="0"/>
        <v>1</v>
      </c>
      <c r="O20" t="b">
        <f t="array" ref="O20">OR(B20=Hist!$A$1:$A$85)</f>
        <v>1</v>
      </c>
    </row>
    <row r="21" spans="1:15" hidden="1">
      <c r="A21">
        <f t="array" ref="A21">SUM((B21=$B$2:$B$127)*1)</f>
        <v>1</v>
      </c>
      <c r="B21" t="s">
        <v>126</v>
      </c>
      <c r="C21" t="s">
        <v>13</v>
      </c>
      <c r="D21" t="s">
        <v>80</v>
      </c>
      <c r="E21" t="s">
        <v>81</v>
      </c>
      <c r="F21" t="s">
        <v>127</v>
      </c>
      <c r="G21" t="s">
        <v>128</v>
      </c>
      <c r="H21" t="s">
        <v>106</v>
      </c>
      <c r="I21">
        <v>0</v>
      </c>
      <c r="J21">
        <v>0</v>
      </c>
      <c r="K21" t="s">
        <v>129</v>
      </c>
      <c r="L21" t="s">
        <v>130</v>
      </c>
      <c r="M21">
        <v>0</v>
      </c>
      <c r="N21">
        <f t="shared" si="0"/>
        <v>0</v>
      </c>
      <c r="O21" t="b">
        <f t="array" ref="O21">OR(B21=Hist!$A$1:$A$85)</f>
        <v>0</v>
      </c>
    </row>
    <row r="22" spans="1:15" hidden="1">
      <c r="A22">
        <f t="array" ref="A22">SUM((B22=$B$2:$B$127)*1)</f>
        <v>1</v>
      </c>
      <c r="B22" s="2" t="s">
        <v>131</v>
      </c>
      <c r="C22" s="2" t="s">
        <v>132</v>
      </c>
      <c r="D22" s="2" t="s">
        <v>133</v>
      </c>
      <c r="E22" s="2" t="s">
        <v>134</v>
      </c>
      <c r="F22" s="2" t="s">
        <v>135</v>
      </c>
      <c r="G22" s="2" t="s">
        <v>136</v>
      </c>
      <c r="H22" s="2" t="s">
        <v>137</v>
      </c>
      <c r="I22" s="2">
        <v>0</v>
      </c>
      <c r="J22" s="2">
        <v>0</v>
      </c>
      <c r="K22" s="2" t="s">
        <v>138</v>
      </c>
      <c r="L22" s="2"/>
      <c r="M22" s="2">
        <v>0</v>
      </c>
      <c r="N22" s="2">
        <f t="shared" si="0"/>
        <v>0</v>
      </c>
      <c r="O22" t="b">
        <f t="array" ref="O22">OR(B22=Hist!$A$1:$A$85)</f>
        <v>0</v>
      </c>
    </row>
    <row r="23" spans="1:15" hidden="1">
      <c r="A23">
        <f t="array" ref="A23">SUM((B23=$B$2:$B$127)*1)</f>
        <v>1</v>
      </c>
      <c r="B23" s="2" t="s">
        <v>139</v>
      </c>
      <c r="C23" s="2" t="s">
        <v>132</v>
      </c>
      <c r="D23" s="2" t="s">
        <v>133</v>
      </c>
      <c r="E23" s="2" t="s">
        <v>134</v>
      </c>
      <c r="F23" s="2" t="s">
        <v>140</v>
      </c>
      <c r="G23" s="2" t="s">
        <v>141</v>
      </c>
      <c r="H23" s="2" t="s">
        <v>137</v>
      </c>
      <c r="I23" s="2">
        <v>0</v>
      </c>
      <c r="J23" s="2">
        <v>0</v>
      </c>
      <c r="K23" s="2" t="s">
        <v>142</v>
      </c>
      <c r="L23" s="2"/>
      <c r="M23" s="2">
        <v>0</v>
      </c>
      <c r="N23" s="2">
        <f t="shared" si="0"/>
        <v>0</v>
      </c>
      <c r="O23" t="b">
        <f t="array" ref="O23">OR(B23=Hist!$A$1:$A$85)</f>
        <v>0</v>
      </c>
    </row>
    <row r="24" spans="1:15" hidden="1">
      <c r="A24">
        <f t="array" ref="A24">SUM((B24=$B$2:$B$127)*1)</f>
        <v>1</v>
      </c>
      <c r="B24" s="2" t="s">
        <v>143</v>
      </c>
      <c r="C24" s="2" t="s">
        <v>132</v>
      </c>
      <c r="D24" s="2" t="s">
        <v>133</v>
      </c>
      <c r="E24" s="2" t="s">
        <v>134</v>
      </c>
      <c r="F24" s="2" t="s">
        <v>144</v>
      </c>
      <c r="G24" s="2" t="s">
        <v>145</v>
      </c>
      <c r="H24" s="2" t="s">
        <v>137</v>
      </c>
      <c r="I24" s="2">
        <v>0</v>
      </c>
      <c r="J24" s="2">
        <v>0</v>
      </c>
      <c r="K24" s="2" t="s">
        <v>146</v>
      </c>
      <c r="L24" s="2"/>
      <c r="M24" s="2">
        <v>0</v>
      </c>
      <c r="N24" s="2">
        <f t="shared" si="0"/>
        <v>0</v>
      </c>
      <c r="O24" t="b">
        <f t="array" ref="O24">OR(B24=Hist!$A$1:$A$85)</f>
        <v>0</v>
      </c>
    </row>
    <row r="25" spans="1:15" hidden="1">
      <c r="A25">
        <f t="array" ref="A25">SUM((B25=$B$2:$B$127)*1)</f>
        <v>1</v>
      </c>
      <c r="B25" s="2" t="s">
        <v>147</v>
      </c>
      <c r="C25" s="2" t="s">
        <v>132</v>
      </c>
      <c r="D25" s="2" t="s">
        <v>133</v>
      </c>
      <c r="E25" s="2" t="s">
        <v>134</v>
      </c>
      <c r="F25" s="2" t="s">
        <v>148</v>
      </c>
      <c r="G25" s="2" t="s">
        <v>149</v>
      </c>
      <c r="H25" s="2" t="s">
        <v>150</v>
      </c>
      <c r="I25" s="2">
        <v>0</v>
      </c>
      <c r="J25" s="2">
        <v>0</v>
      </c>
      <c r="K25" s="2" t="s">
        <v>151</v>
      </c>
      <c r="L25" s="2"/>
      <c r="M25" s="2">
        <v>0</v>
      </c>
      <c r="N25" s="2">
        <f t="shared" si="0"/>
        <v>0</v>
      </c>
      <c r="O25" t="b">
        <f t="array" ref="O25">OR(B25=Hist!$A$1:$A$85)</f>
        <v>0</v>
      </c>
    </row>
    <row r="26" spans="1:15" hidden="1">
      <c r="A26">
        <f t="array" ref="A26">SUM((B26=$B$2:$B$127)*1)</f>
        <v>1</v>
      </c>
      <c r="B26" s="2" t="s">
        <v>152</v>
      </c>
      <c r="C26" s="2" t="s">
        <v>132</v>
      </c>
      <c r="D26" s="2" t="s">
        <v>133</v>
      </c>
      <c r="E26" s="2" t="s">
        <v>134</v>
      </c>
      <c r="F26" s="2" t="s">
        <v>153</v>
      </c>
      <c r="G26" s="2" t="s">
        <v>154</v>
      </c>
      <c r="H26" s="2" t="s">
        <v>150</v>
      </c>
      <c r="I26" s="2">
        <v>0</v>
      </c>
      <c r="J26" s="2">
        <v>0</v>
      </c>
      <c r="K26" s="2" t="s">
        <v>155</v>
      </c>
      <c r="L26" s="2"/>
      <c r="M26" s="2">
        <v>0</v>
      </c>
      <c r="N26" s="2">
        <f t="shared" si="0"/>
        <v>0</v>
      </c>
      <c r="O26" t="b">
        <f t="array" ref="O26">OR(B26=Hist!$A$1:$A$85)</f>
        <v>0</v>
      </c>
    </row>
    <row r="27" spans="1:15" hidden="1">
      <c r="A27">
        <f t="array" ref="A27">SUM((B27=$B$2:$B$127)*1)</f>
        <v>1</v>
      </c>
      <c r="B27" s="2" t="s">
        <v>156</v>
      </c>
      <c r="C27" s="2" t="s">
        <v>132</v>
      </c>
      <c r="D27" s="2" t="s">
        <v>133</v>
      </c>
      <c r="E27" s="2" t="s">
        <v>134</v>
      </c>
      <c r="F27" s="2" t="s">
        <v>157</v>
      </c>
      <c r="G27" s="2" t="s">
        <v>158</v>
      </c>
      <c r="H27" s="2" t="s">
        <v>159</v>
      </c>
      <c r="I27" s="2">
        <v>0</v>
      </c>
      <c r="J27" s="2">
        <v>0</v>
      </c>
      <c r="K27" s="2" t="s">
        <v>160</v>
      </c>
      <c r="L27" s="2"/>
      <c r="M27" s="2">
        <v>0</v>
      </c>
      <c r="N27" s="2">
        <f t="shared" si="0"/>
        <v>0</v>
      </c>
      <c r="O27" t="b">
        <f t="array" ref="O27">OR(B27=Hist!$A$1:$A$85)</f>
        <v>0</v>
      </c>
    </row>
    <row r="28" spans="1:15" hidden="1">
      <c r="A28">
        <f t="array" ref="A28">SUM((B28=$B$2:$B$127)*1)</f>
        <v>1</v>
      </c>
      <c r="B28" s="2" t="s">
        <v>161</v>
      </c>
      <c r="C28" s="2" t="s">
        <v>132</v>
      </c>
      <c r="D28" s="2" t="s">
        <v>133</v>
      </c>
      <c r="E28" s="2" t="s">
        <v>134</v>
      </c>
      <c r="F28" s="2" t="s">
        <v>162</v>
      </c>
      <c r="G28" s="2" t="s">
        <v>163</v>
      </c>
      <c r="H28" s="2" t="s">
        <v>159</v>
      </c>
      <c r="I28" s="2">
        <v>0</v>
      </c>
      <c r="J28" s="2">
        <v>0</v>
      </c>
      <c r="K28" s="2" t="s">
        <v>164</v>
      </c>
      <c r="L28" s="2"/>
      <c r="M28" s="2">
        <v>0</v>
      </c>
      <c r="N28" s="2">
        <f t="shared" si="0"/>
        <v>0</v>
      </c>
      <c r="O28" t="b">
        <f t="array" ref="O28">OR(B28=Hist!$A$1:$A$85)</f>
        <v>0</v>
      </c>
    </row>
    <row r="29" spans="1:15" hidden="1">
      <c r="A29">
        <f t="array" ref="A29">SUM((B29=$B$2:$B$127)*1)</f>
        <v>1</v>
      </c>
      <c r="B29" s="2" t="s">
        <v>165</v>
      </c>
      <c r="C29" s="2" t="s">
        <v>132</v>
      </c>
      <c r="D29" s="2" t="s">
        <v>133</v>
      </c>
      <c r="E29" s="2" t="s">
        <v>134</v>
      </c>
      <c r="F29" s="2" t="s">
        <v>166</v>
      </c>
      <c r="G29" s="2" t="s">
        <v>167</v>
      </c>
      <c r="H29" s="2" t="s">
        <v>159</v>
      </c>
      <c r="I29" s="2">
        <v>0</v>
      </c>
      <c r="J29" s="2">
        <v>0</v>
      </c>
      <c r="K29" s="2" t="s">
        <v>168</v>
      </c>
      <c r="L29" s="2"/>
      <c r="M29" s="2">
        <v>0</v>
      </c>
      <c r="N29" s="2">
        <f t="shared" si="0"/>
        <v>0</v>
      </c>
      <c r="O29" t="b">
        <f t="array" ref="O29">OR(B29=Hist!$A$1:$A$85)</f>
        <v>0</v>
      </c>
    </row>
    <row r="30" spans="1:15" hidden="1">
      <c r="A30">
        <f t="array" ref="A30">SUM((B30=$B$2:$B$127)*1)</f>
        <v>1</v>
      </c>
      <c r="B30" s="2" t="s">
        <v>169</v>
      </c>
      <c r="C30" s="2" t="s">
        <v>132</v>
      </c>
      <c r="D30" s="2" t="s">
        <v>133</v>
      </c>
      <c r="E30" s="2" t="s">
        <v>134</v>
      </c>
      <c r="F30" s="2" t="s">
        <v>170</v>
      </c>
      <c r="G30" s="2" t="s">
        <v>171</v>
      </c>
      <c r="H30" s="2" t="s">
        <v>137</v>
      </c>
      <c r="I30" s="2">
        <v>0</v>
      </c>
      <c r="J30" s="2">
        <v>0</v>
      </c>
      <c r="K30" s="2" t="s">
        <v>172</v>
      </c>
      <c r="L30" s="2"/>
      <c r="M30" s="2">
        <v>0</v>
      </c>
      <c r="N30" s="2">
        <f t="shared" si="0"/>
        <v>0</v>
      </c>
      <c r="O30" t="b">
        <f t="array" ref="O30">OR(B30=Hist!$A$1:$A$85)</f>
        <v>0</v>
      </c>
    </row>
    <row r="31" spans="1:15" hidden="1">
      <c r="A31">
        <f t="array" ref="A31">SUM((B31=$B$2:$B$127)*1)</f>
        <v>1</v>
      </c>
      <c r="B31" s="2" t="s">
        <v>173</v>
      </c>
      <c r="C31" s="2" t="s">
        <v>132</v>
      </c>
      <c r="D31" s="2" t="s">
        <v>133</v>
      </c>
      <c r="E31" s="2" t="s">
        <v>134</v>
      </c>
      <c r="F31" s="2" t="s">
        <v>174</v>
      </c>
      <c r="G31" s="2" t="s">
        <v>175</v>
      </c>
      <c r="H31" s="2" t="s">
        <v>137</v>
      </c>
      <c r="I31" s="2">
        <v>0</v>
      </c>
      <c r="J31" s="2">
        <v>0</v>
      </c>
      <c r="K31" s="2" t="s">
        <v>176</v>
      </c>
      <c r="L31" s="2"/>
      <c r="M31" s="2">
        <v>0</v>
      </c>
      <c r="N31" s="2">
        <f t="shared" si="0"/>
        <v>0</v>
      </c>
      <c r="O31" t="b">
        <f t="array" ref="O31">OR(B31=Hist!$A$1:$A$85)</f>
        <v>0</v>
      </c>
    </row>
    <row r="32" spans="1:15" hidden="1">
      <c r="A32">
        <f t="array" ref="A32">SUM((B32=$B$2:$B$127)*1)</f>
        <v>1</v>
      </c>
      <c r="B32" s="2" t="s">
        <v>177</v>
      </c>
      <c r="C32" s="2" t="s">
        <v>132</v>
      </c>
      <c r="D32" s="2" t="s">
        <v>133</v>
      </c>
      <c r="E32" s="2" t="s">
        <v>134</v>
      </c>
      <c r="F32" s="2" t="s">
        <v>178</v>
      </c>
      <c r="G32" s="2" t="s">
        <v>158</v>
      </c>
      <c r="H32" s="2" t="s">
        <v>179</v>
      </c>
      <c r="I32" s="2">
        <v>0</v>
      </c>
      <c r="J32" s="2">
        <v>0</v>
      </c>
      <c r="K32" s="2" t="s">
        <v>180</v>
      </c>
      <c r="L32" s="2"/>
      <c r="M32" s="2">
        <v>0</v>
      </c>
      <c r="N32" s="2">
        <f t="shared" si="0"/>
        <v>0</v>
      </c>
      <c r="O32" t="b">
        <f t="array" ref="O32">OR(B32=Hist!$A$1:$A$85)</f>
        <v>0</v>
      </c>
    </row>
    <row r="33" spans="1:15" hidden="1">
      <c r="A33">
        <f t="array" ref="A33">SUM((B33=$B$2:$B$127)*1)</f>
        <v>1</v>
      </c>
      <c r="B33" s="2" t="s">
        <v>181</v>
      </c>
      <c r="C33" s="2" t="s">
        <v>132</v>
      </c>
      <c r="D33" s="2" t="s">
        <v>133</v>
      </c>
      <c r="E33" s="2" t="s">
        <v>134</v>
      </c>
      <c r="F33" s="2" t="s">
        <v>182</v>
      </c>
      <c r="G33" s="2" t="s">
        <v>183</v>
      </c>
      <c r="H33" s="2" t="s">
        <v>179</v>
      </c>
      <c r="I33" s="2">
        <v>0</v>
      </c>
      <c r="J33" s="2">
        <v>0</v>
      </c>
      <c r="K33" s="2" t="s">
        <v>184</v>
      </c>
      <c r="L33" s="2"/>
      <c r="M33" s="2">
        <v>0</v>
      </c>
      <c r="N33" s="2">
        <f t="shared" si="0"/>
        <v>0</v>
      </c>
      <c r="O33" t="b">
        <f t="array" ref="O33">OR(B33=Hist!$A$1:$A$85)</f>
        <v>0</v>
      </c>
    </row>
    <row r="34" spans="1:15" hidden="1">
      <c r="A34">
        <f t="array" ref="A34">SUM((B34=$B$2:$B$127)*1)</f>
        <v>1</v>
      </c>
      <c r="B34" s="2" t="s">
        <v>185</v>
      </c>
      <c r="C34" s="2" t="s">
        <v>132</v>
      </c>
      <c r="D34" s="2" t="s">
        <v>133</v>
      </c>
      <c r="E34" s="2" t="s">
        <v>134</v>
      </c>
      <c r="F34" s="2" t="s">
        <v>186</v>
      </c>
      <c r="G34" s="2" t="s">
        <v>187</v>
      </c>
      <c r="H34" s="2" t="s">
        <v>188</v>
      </c>
      <c r="I34" s="2">
        <v>0</v>
      </c>
      <c r="J34" s="2">
        <v>0</v>
      </c>
      <c r="K34" s="2" t="s">
        <v>189</v>
      </c>
      <c r="L34" s="2"/>
      <c r="M34" s="2">
        <v>0</v>
      </c>
      <c r="N34" s="2">
        <f t="shared" si="0"/>
        <v>0</v>
      </c>
      <c r="O34" t="b">
        <f t="array" ref="O34">OR(B34=Hist!$A$1:$A$85)</f>
        <v>0</v>
      </c>
    </row>
    <row r="35" spans="1:15" hidden="1">
      <c r="A35">
        <f t="array" ref="A35">SUM((B35=$B$2:$B$127)*1)</f>
        <v>1</v>
      </c>
      <c r="B35" s="2" t="s">
        <v>190</v>
      </c>
      <c r="C35" s="2" t="s">
        <v>132</v>
      </c>
      <c r="D35" s="2" t="s">
        <v>133</v>
      </c>
      <c r="E35" s="2" t="s">
        <v>134</v>
      </c>
      <c r="F35" s="2" t="s">
        <v>191</v>
      </c>
      <c r="G35" s="2" t="s">
        <v>192</v>
      </c>
      <c r="H35" s="2" t="s">
        <v>179</v>
      </c>
      <c r="I35" s="2">
        <v>0</v>
      </c>
      <c r="J35" s="2">
        <v>0</v>
      </c>
      <c r="K35" s="2" t="s">
        <v>193</v>
      </c>
      <c r="L35" s="2"/>
      <c r="M35" s="2">
        <v>0</v>
      </c>
      <c r="N35" s="2">
        <f t="shared" si="0"/>
        <v>0</v>
      </c>
      <c r="O35" t="b">
        <f t="array" ref="O35">OR(B35=Hist!$A$1:$A$85)</f>
        <v>0</v>
      </c>
    </row>
    <row r="36" spans="1:15" hidden="1">
      <c r="A36">
        <f t="array" ref="A36">SUM((B36=$B$2:$B$127)*1)</f>
        <v>1</v>
      </c>
      <c r="B36" s="2" t="s">
        <v>194</v>
      </c>
      <c r="C36" s="2" t="s">
        <v>132</v>
      </c>
      <c r="D36" s="2" t="s">
        <v>133</v>
      </c>
      <c r="E36" s="2" t="s">
        <v>134</v>
      </c>
      <c r="F36" s="2" t="s">
        <v>195</v>
      </c>
      <c r="G36" s="2" t="s">
        <v>183</v>
      </c>
      <c r="H36" s="2" t="s">
        <v>196</v>
      </c>
      <c r="I36" s="2">
        <v>0</v>
      </c>
      <c r="J36" s="2">
        <v>0</v>
      </c>
      <c r="K36" s="2" t="s">
        <v>197</v>
      </c>
      <c r="L36" s="2"/>
      <c r="M36" s="2">
        <v>0</v>
      </c>
      <c r="N36" s="2">
        <f t="shared" si="0"/>
        <v>0</v>
      </c>
      <c r="O36" t="b">
        <f t="array" ref="O36">OR(B36=Hist!$A$1:$A$85)</f>
        <v>0</v>
      </c>
    </row>
    <row r="37" spans="1:15" hidden="1">
      <c r="A37">
        <f t="array" ref="A37">SUM((B37=$B$2:$B$127)*1)</f>
        <v>1</v>
      </c>
      <c r="B37" s="2" t="s">
        <v>198</v>
      </c>
      <c r="C37" s="2" t="s">
        <v>132</v>
      </c>
      <c r="D37" s="2" t="s">
        <v>133</v>
      </c>
      <c r="E37" s="2" t="s">
        <v>134</v>
      </c>
      <c r="F37" s="2" t="s">
        <v>199</v>
      </c>
      <c r="G37" s="2" t="s">
        <v>200</v>
      </c>
      <c r="H37" s="2" t="s">
        <v>179</v>
      </c>
      <c r="I37" s="2">
        <v>0</v>
      </c>
      <c r="J37" s="2">
        <v>0</v>
      </c>
      <c r="K37" s="2" t="s">
        <v>201</v>
      </c>
      <c r="L37" s="2"/>
      <c r="M37" s="2">
        <v>0</v>
      </c>
      <c r="N37" s="2">
        <f t="shared" si="0"/>
        <v>0</v>
      </c>
      <c r="O37" t="b">
        <f t="array" ref="O37">OR(B37=Hist!$A$1:$A$85)</f>
        <v>0</v>
      </c>
    </row>
    <row r="38" spans="1:15" hidden="1">
      <c r="A38">
        <f t="array" ref="A38">SUM((B38=$B$2:$B$127)*1)</f>
        <v>1</v>
      </c>
      <c r="B38" s="2" t="s">
        <v>202</v>
      </c>
      <c r="C38" s="2" t="s">
        <v>132</v>
      </c>
      <c r="D38" s="2" t="s">
        <v>133</v>
      </c>
      <c r="E38" s="2" t="s">
        <v>134</v>
      </c>
      <c r="F38" s="2" t="s">
        <v>203</v>
      </c>
      <c r="G38" s="2" t="s">
        <v>183</v>
      </c>
      <c r="H38" s="2" t="s">
        <v>204</v>
      </c>
      <c r="I38" s="2">
        <v>0</v>
      </c>
      <c r="J38" s="2">
        <v>0</v>
      </c>
      <c r="K38" s="2" t="s">
        <v>205</v>
      </c>
      <c r="L38" s="2"/>
      <c r="M38" s="2">
        <v>0</v>
      </c>
      <c r="N38" s="2">
        <f t="shared" si="0"/>
        <v>0</v>
      </c>
      <c r="O38" t="b">
        <f t="array" ref="O38">OR(B38=Hist!$A$1:$A$85)</f>
        <v>0</v>
      </c>
    </row>
    <row r="39" spans="1:15" hidden="1">
      <c r="A39">
        <f t="array" ref="A39">SUM((B39=$B$2:$B$127)*1)</f>
        <v>1</v>
      </c>
      <c r="B39" s="2" t="s">
        <v>206</v>
      </c>
      <c r="C39" s="2" t="s">
        <v>132</v>
      </c>
      <c r="D39" s="2" t="s">
        <v>133</v>
      </c>
      <c r="E39" s="2" t="s">
        <v>134</v>
      </c>
      <c r="F39" s="2" t="s">
        <v>207</v>
      </c>
      <c r="G39" s="2" t="s">
        <v>208</v>
      </c>
      <c r="H39" s="2" t="s">
        <v>159</v>
      </c>
      <c r="I39" s="2">
        <v>0</v>
      </c>
      <c r="J39" s="2">
        <v>0</v>
      </c>
      <c r="K39" s="2" t="s">
        <v>209</v>
      </c>
      <c r="L39" s="2"/>
      <c r="M39" s="2">
        <v>0</v>
      </c>
      <c r="N39" s="2">
        <f t="shared" si="0"/>
        <v>0</v>
      </c>
      <c r="O39" t="b">
        <f t="array" ref="O39">OR(B39=Hist!$A$1:$A$85)</f>
        <v>0</v>
      </c>
    </row>
    <row r="40" spans="1:15" hidden="1">
      <c r="A40">
        <f t="array" ref="A40">SUM((B40=$B$2:$B$127)*1)</f>
        <v>1</v>
      </c>
      <c r="B40" s="2" t="s">
        <v>210</v>
      </c>
      <c r="C40" s="2" t="s">
        <v>132</v>
      </c>
      <c r="D40" s="2" t="s">
        <v>133</v>
      </c>
      <c r="E40" s="2" t="s">
        <v>134</v>
      </c>
      <c r="F40" s="2" t="s">
        <v>211</v>
      </c>
      <c r="G40" s="2" t="s">
        <v>212</v>
      </c>
      <c r="H40" s="2" t="s">
        <v>159</v>
      </c>
      <c r="I40" s="2">
        <v>0</v>
      </c>
      <c r="J40" s="2">
        <v>0</v>
      </c>
      <c r="K40" s="2" t="s">
        <v>213</v>
      </c>
      <c r="L40" s="2"/>
      <c r="M40" s="2">
        <v>0</v>
      </c>
      <c r="N40" s="2">
        <f t="shared" si="0"/>
        <v>0</v>
      </c>
      <c r="O40" t="b">
        <f t="array" ref="O40">OR(B40=Hist!$A$1:$A$85)</f>
        <v>0</v>
      </c>
    </row>
    <row r="41" spans="1:15" hidden="1">
      <c r="A41">
        <f t="array" ref="A41">SUM((B41=$B$2:$B$127)*1)</f>
        <v>1</v>
      </c>
      <c r="B41" s="2" t="s">
        <v>214</v>
      </c>
      <c r="C41" s="2" t="s">
        <v>132</v>
      </c>
      <c r="D41" s="2" t="s">
        <v>133</v>
      </c>
      <c r="E41" s="2" t="s">
        <v>134</v>
      </c>
      <c r="F41" s="2" t="s">
        <v>215</v>
      </c>
      <c r="G41" s="2" t="s">
        <v>216</v>
      </c>
      <c r="H41" s="2" t="s">
        <v>217</v>
      </c>
      <c r="I41" s="2">
        <v>0</v>
      </c>
      <c r="J41" s="2">
        <v>0</v>
      </c>
      <c r="K41" s="2" t="s">
        <v>218</v>
      </c>
      <c r="L41" s="2"/>
      <c r="M41" s="2">
        <v>0</v>
      </c>
      <c r="N41" s="2">
        <f t="shared" si="0"/>
        <v>0</v>
      </c>
      <c r="O41" t="b">
        <f t="array" ref="O41">OR(B41=Hist!$A$1:$A$85)</f>
        <v>0</v>
      </c>
    </row>
    <row r="42" spans="1:15" hidden="1">
      <c r="A42">
        <f t="array" ref="A42">SUM((B42=$B$2:$B$127)*1)</f>
        <v>1</v>
      </c>
      <c r="B42" s="2" t="s">
        <v>219</v>
      </c>
      <c r="C42" s="2" t="s">
        <v>132</v>
      </c>
      <c r="D42" s="2" t="s">
        <v>133</v>
      </c>
      <c r="E42" s="2" t="s">
        <v>134</v>
      </c>
      <c r="F42" s="2" t="s">
        <v>220</v>
      </c>
      <c r="G42" s="2" t="s">
        <v>175</v>
      </c>
      <c r="H42" s="2" t="s">
        <v>188</v>
      </c>
      <c r="I42" s="2">
        <v>0</v>
      </c>
      <c r="J42" s="2">
        <v>0</v>
      </c>
      <c r="K42" s="2" t="s">
        <v>221</v>
      </c>
      <c r="L42" s="2"/>
      <c r="M42" s="2">
        <v>0</v>
      </c>
      <c r="N42" s="2">
        <f t="shared" si="0"/>
        <v>0</v>
      </c>
      <c r="O42" t="b">
        <f t="array" ref="O42">OR(B42=Hist!$A$1:$A$85)</f>
        <v>0</v>
      </c>
    </row>
    <row r="43" spans="1:15" hidden="1">
      <c r="A43">
        <f t="array" ref="A43">SUM((B43=$B$2:$B$127)*1)</f>
        <v>1</v>
      </c>
      <c r="B43" s="2" t="s">
        <v>222</v>
      </c>
      <c r="C43" s="2" t="s">
        <v>132</v>
      </c>
      <c r="D43" s="2" t="s">
        <v>133</v>
      </c>
      <c r="E43" s="2" t="s">
        <v>134</v>
      </c>
      <c r="F43" s="2" t="s">
        <v>223</v>
      </c>
      <c r="G43" s="2" t="s">
        <v>224</v>
      </c>
      <c r="H43" s="2" t="s">
        <v>137</v>
      </c>
      <c r="I43" s="2">
        <v>0</v>
      </c>
      <c r="J43" s="2">
        <v>0</v>
      </c>
      <c r="K43" s="2" t="s">
        <v>225</v>
      </c>
      <c r="L43" s="2"/>
      <c r="M43" s="2">
        <v>0</v>
      </c>
      <c r="N43" s="2">
        <f t="shared" si="0"/>
        <v>0</v>
      </c>
      <c r="O43" t="b">
        <f t="array" ref="O43">OR(B43=Hist!$A$1:$A$85)</f>
        <v>0</v>
      </c>
    </row>
    <row r="44" spans="1:15" hidden="1">
      <c r="A44">
        <f t="array" ref="A44">SUM((B44=$B$2:$B$127)*1)</f>
        <v>1</v>
      </c>
      <c r="B44" s="2" t="s">
        <v>226</v>
      </c>
      <c r="C44" s="2" t="s">
        <v>132</v>
      </c>
      <c r="D44" s="2" t="s">
        <v>133</v>
      </c>
      <c r="E44" s="2" t="s">
        <v>134</v>
      </c>
      <c r="F44" s="2" t="s">
        <v>227</v>
      </c>
      <c r="G44" s="2" t="s">
        <v>158</v>
      </c>
      <c r="H44" s="2" t="s">
        <v>159</v>
      </c>
      <c r="I44" s="2">
        <v>0</v>
      </c>
      <c r="J44" s="2">
        <v>0</v>
      </c>
      <c r="K44" s="2" t="s">
        <v>228</v>
      </c>
      <c r="L44" s="2"/>
      <c r="M44" s="2">
        <v>0</v>
      </c>
      <c r="N44" s="2">
        <f t="shared" si="0"/>
        <v>0</v>
      </c>
      <c r="O44" t="b">
        <f t="array" ref="O44">OR(B44=Hist!$A$1:$A$85)</f>
        <v>0</v>
      </c>
    </row>
    <row r="45" spans="1:15">
      <c r="A45">
        <f t="array" ref="A45">SUM((B45=$B$2:$B$127)*1)</f>
        <v>3</v>
      </c>
      <c r="B45" s="2" t="s">
        <v>229</v>
      </c>
      <c r="C45" s="2" t="s">
        <v>132</v>
      </c>
      <c r="D45" s="2" t="s">
        <v>230</v>
      </c>
      <c r="E45" s="2" t="s">
        <v>231</v>
      </c>
      <c r="F45" s="2" t="s">
        <v>232</v>
      </c>
      <c r="G45" s="2" t="s">
        <v>233</v>
      </c>
      <c r="H45" s="2" t="s">
        <v>234</v>
      </c>
      <c r="I45" s="2">
        <v>1</v>
      </c>
      <c r="J45" s="2">
        <v>0</v>
      </c>
      <c r="K45" s="2" t="s">
        <v>235</v>
      </c>
      <c r="L45" s="2"/>
      <c r="M45" s="2">
        <v>0</v>
      </c>
      <c r="N45" s="2">
        <f t="shared" si="0"/>
        <v>1</v>
      </c>
      <c r="O45" t="b">
        <f t="array" ref="O45">OR(B45=Hist!$A$1:$A$85)</f>
        <v>1</v>
      </c>
    </row>
    <row r="46" spans="1:15" hidden="1">
      <c r="A46">
        <f t="array" ref="A46">SUM((B46=$B$2:$B$127)*1)</f>
        <v>1</v>
      </c>
      <c r="B46" s="2" t="s">
        <v>236</v>
      </c>
      <c r="C46" s="2" t="s">
        <v>132</v>
      </c>
      <c r="D46" s="2" t="s">
        <v>237</v>
      </c>
      <c r="E46" s="2" t="s">
        <v>238</v>
      </c>
      <c r="F46" s="2" t="s">
        <v>239</v>
      </c>
      <c r="G46" s="2" t="s">
        <v>240</v>
      </c>
      <c r="H46" s="2" t="s">
        <v>241</v>
      </c>
      <c r="I46" s="2">
        <v>1</v>
      </c>
      <c r="J46" s="2">
        <v>0</v>
      </c>
      <c r="K46" s="2" t="s">
        <v>242</v>
      </c>
      <c r="L46" s="2"/>
      <c r="M46" s="2">
        <v>0</v>
      </c>
      <c r="N46" s="2">
        <f t="shared" si="0"/>
        <v>1</v>
      </c>
      <c r="O46" t="b">
        <f t="array" ref="O46">OR(B46=Hist!$A$1:$A$85)</f>
        <v>1</v>
      </c>
    </row>
    <row r="47" spans="1:15" hidden="1">
      <c r="A47">
        <f t="array" ref="A47">SUM((B47=$B$2:$B$127)*1)</f>
        <v>1</v>
      </c>
      <c r="B47" s="2" t="s">
        <v>243</v>
      </c>
      <c r="C47" s="2" t="s">
        <v>132</v>
      </c>
      <c r="D47" s="2" t="s">
        <v>237</v>
      </c>
      <c r="E47" s="2" t="s">
        <v>238</v>
      </c>
      <c r="F47" s="2" t="s">
        <v>244</v>
      </c>
      <c r="G47" s="2" t="s">
        <v>245</v>
      </c>
      <c r="H47" s="2" t="s">
        <v>246</v>
      </c>
      <c r="I47" s="2">
        <v>1</v>
      </c>
      <c r="J47" s="2">
        <v>0</v>
      </c>
      <c r="K47" s="2" t="s">
        <v>247</v>
      </c>
      <c r="L47" s="2"/>
      <c r="M47" s="2">
        <v>0</v>
      </c>
      <c r="N47" s="2">
        <f t="shared" si="0"/>
        <v>1</v>
      </c>
      <c r="O47" t="b">
        <f t="array" ref="O47">OR(B47=Hist!$A$1:$A$85)</f>
        <v>1</v>
      </c>
    </row>
    <row r="48" spans="1:15" hidden="1">
      <c r="A48">
        <f t="array" ref="A48">SUM((B48=$B$2:$B$127)*1)</f>
        <v>1</v>
      </c>
      <c r="B48" s="2" t="s">
        <v>248</v>
      </c>
      <c r="C48" s="2" t="s">
        <v>132</v>
      </c>
      <c r="D48" s="2" t="s">
        <v>249</v>
      </c>
      <c r="E48" s="2" t="s">
        <v>250</v>
      </c>
      <c r="F48" s="2" t="s">
        <v>251</v>
      </c>
      <c r="G48" s="2" t="s">
        <v>252</v>
      </c>
      <c r="H48" s="2" t="s">
        <v>253</v>
      </c>
      <c r="I48" s="2">
        <v>0</v>
      </c>
      <c r="J48" s="2">
        <v>0</v>
      </c>
      <c r="K48" s="2" t="s">
        <v>254</v>
      </c>
      <c r="L48" s="2"/>
      <c r="M48" s="2">
        <v>0</v>
      </c>
      <c r="N48" s="2">
        <f t="shared" si="0"/>
        <v>0</v>
      </c>
      <c r="O48" t="b">
        <f t="array" ref="O48">OR(B48=Hist!$A$1:$A$85)</f>
        <v>0</v>
      </c>
    </row>
    <row r="49" spans="1:15" hidden="1">
      <c r="A49">
        <f t="array" ref="A49">SUM((B49=$B$2:$B$127)*1)</f>
        <v>1</v>
      </c>
      <c r="B49" s="2" t="s">
        <v>255</v>
      </c>
      <c r="C49" s="2" t="s">
        <v>132</v>
      </c>
      <c r="D49" s="2" t="s">
        <v>249</v>
      </c>
      <c r="E49" s="2" t="s">
        <v>250</v>
      </c>
      <c r="F49" s="2" t="s">
        <v>256</v>
      </c>
      <c r="G49" s="2" t="s">
        <v>257</v>
      </c>
      <c r="H49" s="2" t="s">
        <v>246</v>
      </c>
      <c r="I49" s="2">
        <v>0</v>
      </c>
      <c r="J49" s="2">
        <v>0</v>
      </c>
      <c r="K49" s="2" t="s">
        <v>258</v>
      </c>
      <c r="L49" s="2"/>
      <c r="M49" s="2">
        <v>0</v>
      </c>
      <c r="N49" s="2">
        <f t="shared" si="0"/>
        <v>0</v>
      </c>
      <c r="O49" t="b">
        <f t="array" ref="O49">OR(B49=Hist!$A$1:$A$85)</f>
        <v>0</v>
      </c>
    </row>
    <row r="50" spans="1:15" hidden="1">
      <c r="A50">
        <f t="array" ref="A50">SUM((B50=$B$2:$B$127)*1)</f>
        <v>1</v>
      </c>
      <c r="B50" s="2" t="s">
        <v>259</v>
      </c>
      <c r="C50" s="2" t="s">
        <v>132</v>
      </c>
      <c r="D50" s="2" t="s">
        <v>249</v>
      </c>
      <c r="E50" s="2" t="s">
        <v>250</v>
      </c>
      <c r="F50" s="2" t="s">
        <v>260</v>
      </c>
      <c r="G50" s="2" t="s">
        <v>261</v>
      </c>
      <c r="H50" s="2" t="s">
        <v>262</v>
      </c>
      <c r="I50" s="2">
        <v>0</v>
      </c>
      <c r="J50" s="2">
        <v>0</v>
      </c>
      <c r="K50" s="2" t="s">
        <v>263</v>
      </c>
      <c r="L50" s="2"/>
      <c r="M50" s="2">
        <v>0</v>
      </c>
      <c r="N50" s="2">
        <f t="shared" si="0"/>
        <v>0</v>
      </c>
      <c r="O50" t="b">
        <f t="array" ref="O50">OR(B50=Hist!$A$1:$A$85)</f>
        <v>0</v>
      </c>
    </row>
    <row r="51" spans="1:15" hidden="1">
      <c r="A51">
        <f t="array" ref="A51">SUM((B51=$B$2:$B$127)*1)</f>
        <v>1</v>
      </c>
      <c r="B51" s="2" t="s">
        <v>264</v>
      </c>
      <c r="C51" s="2" t="s">
        <v>132</v>
      </c>
      <c r="D51" s="2" t="s">
        <v>265</v>
      </c>
      <c r="E51" s="2" t="s">
        <v>266</v>
      </c>
      <c r="F51" s="2" t="s">
        <v>267</v>
      </c>
      <c r="G51" s="2" t="s">
        <v>268</v>
      </c>
      <c r="H51" s="2" t="s">
        <v>269</v>
      </c>
      <c r="I51" s="2">
        <v>1</v>
      </c>
      <c r="J51" s="2">
        <v>0</v>
      </c>
      <c r="K51" s="2" t="s">
        <v>270</v>
      </c>
      <c r="L51" s="2"/>
      <c r="M51" s="2">
        <v>0</v>
      </c>
      <c r="N51" s="2">
        <f t="shared" si="0"/>
        <v>1</v>
      </c>
      <c r="O51" t="b">
        <f t="array" ref="O51">OR(B51=Hist!$A$1:$A$85)</f>
        <v>1</v>
      </c>
    </row>
    <row r="52" spans="1:15" hidden="1">
      <c r="A52">
        <f t="array" ref="A52">SUM((B52=$B$2:$B$127)*1)</f>
        <v>1</v>
      </c>
      <c r="B52" s="2" t="s">
        <v>271</v>
      </c>
      <c r="C52" s="2" t="s">
        <v>132</v>
      </c>
      <c r="D52" s="2" t="s">
        <v>265</v>
      </c>
      <c r="E52" s="2" t="s">
        <v>266</v>
      </c>
      <c r="F52" s="2" t="s">
        <v>272</v>
      </c>
      <c r="G52" s="2" t="s">
        <v>273</v>
      </c>
      <c r="H52" s="2"/>
      <c r="I52" s="2">
        <v>0</v>
      </c>
      <c r="J52" s="2">
        <v>1</v>
      </c>
      <c r="K52" s="2" t="s">
        <v>274</v>
      </c>
      <c r="L52" s="2"/>
      <c r="M52" s="2">
        <v>0</v>
      </c>
      <c r="N52" s="2">
        <f t="shared" si="0"/>
        <v>1</v>
      </c>
      <c r="O52" t="b">
        <f t="array" ref="O52">OR(B52=Hist!$A$1:$A$85)</f>
        <v>1</v>
      </c>
    </row>
    <row r="53" spans="1:15" hidden="1">
      <c r="A53">
        <f t="array" ref="A53">SUM((B53=$B$2:$B$127)*1)</f>
        <v>1</v>
      </c>
      <c r="B53" s="2" t="s">
        <v>275</v>
      </c>
      <c r="C53" s="2" t="s">
        <v>132</v>
      </c>
      <c r="D53" s="2" t="s">
        <v>276</v>
      </c>
      <c r="E53" s="2" t="s">
        <v>277</v>
      </c>
      <c r="F53" s="2" t="s">
        <v>278</v>
      </c>
      <c r="G53" s="2" t="s">
        <v>279</v>
      </c>
      <c r="H53" s="2" t="s">
        <v>280</v>
      </c>
      <c r="I53" s="2">
        <v>0</v>
      </c>
      <c r="J53" s="2">
        <v>0</v>
      </c>
      <c r="K53" s="2" t="s">
        <v>281</v>
      </c>
      <c r="L53" s="2"/>
      <c r="M53" s="2">
        <v>0</v>
      </c>
      <c r="N53" s="2">
        <f t="shared" si="0"/>
        <v>0</v>
      </c>
      <c r="O53" t="b">
        <f t="array" ref="O53">OR(B53=Hist!$A$1:$A$85)</f>
        <v>0</v>
      </c>
    </row>
    <row r="54" spans="1:15">
      <c r="A54">
        <f t="array" ref="A54">SUM((B54=$B$2:$B$127)*1)</f>
        <v>3</v>
      </c>
      <c r="B54" s="2" t="s">
        <v>229</v>
      </c>
      <c r="C54" s="2" t="s">
        <v>132</v>
      </c>
      <c r="D54" s="2" t="s">
        <v>230</v>
      </c>
      <c r="E54" s="2" t="s">
        <v>231</v>
      </c>
      <c r="F54" s="2" t="s">
        <v>232</v>
      </c>
      <c r="G54" s="2" t="s">
        <v>233</v>
      </c>
      <c r="H54" s="2" t="s">
        <v>234</v>
      </c>
      <c r="I54" s="2">
        <v>1</v>
      </c>
      <c r="J54" s="2">
        <v>0</v>
      </c>
      <c r="K54" s="2" t="s">
        <v>235</v>
      </c>
      <c r="L54" s="2"/>
      <c r="M54" s="2">
        <v>0</v>
      </c>
      <c r="N54" s="2">
        <f t="shared" si="0"/>
        <v>1</v>
      </c>
      <c r="O54" t="b">
        <f t="array" ref="O54">OR(B54=Hist!$A$1:$A$85)</f>
        <v>1</v>
      </c>
    </row>
    <row r="55" spans="1:15">
      <c r="A55">
        <f t="array" ref="A55">SUM((B55=$B$2:$B$127)*1)</f>
        <v>3</v>
      </c>
      <c r="B55" s="2" t="s">
        <v>229</v>
      </c>
      <c r="C55" s="2" t="s">
        <v>132</v>
      </c>
      <c r="D55" s="2" t="s">
        <v>230</v>
      </c>
      <c r="E55" s="2" t="s">
        <v>231</v>
      </c>
      <c r="F55" s="2" t="s">
        <v>232</v>
      </c>
      <c r="G55" s="2" t="s">
        <v>233</v>
      </c>
      <c r="H55" s="2" t="s">
        <v>234</v>
      </c>
      <c r="I55" s="2">
        <v>1</v>
      </c>
      <c r="J55" s="2">
        <v>0</v>
      </c>
      <c r="K55" s="2" t="s">
        <v>235</v>
      </c>
      <c r="L55" s="2"/>
      <c r="M55" s="2">
        <v>0</v>
      </c>
      <c r="N55" s="2">
        <f t="shared" si="0"/>
        <v>1</v>
      </c>
      <c r="O55" t="b">
        <f t="array" ref="O55">OR(B55=Hist!$A$1:$A$85)</f>
        <v>1</v>
      </c>
    </row>
    <row r="56" spans="1:15" hidden="1">
      <c r="A56">
        <f t="array" ref="A56">SUM((B56=$B$2:$B$127)*1)</f>
        <v>1</v>
      </c>
      <c r="B56" t="s">
        <v>282</v>
      </c>
      <c r="C56" t="s">
        <v>13</v>
      </c>
      <c r="D56" t="s">
        <v>283</v>
      </c>
      <c r="E56" t="s">
        <v>284</v>
      </c>
      <c r="F56" t="s">
        <v>285</v>
      </c>
      <c r="G56" t="s">
        <v>286</v>
      </c>
      <c r="H56" t="s">
        <v>71</v>
      </c>
      <c r="I56">
        <v>0</v>
      </c>
      <c r="J56">
        <v>0</v>
      </c>
      <c r="K56" t="s">
        <v>287</v>
      </c>
      <c r="L56" t="s">
        <v>288</v>
      </c>
      <c r="M56">
        <v>0</v>
      </c>
      <c r="N56">
        <f t="shared" si="0"/>
        <v>0</v>
      </c>
      <c r="O56" t="b">
        <f t="array" ref="O56">OR(B56=Hist!$A$1:$A$85)</f>
        <v>0</v>
      </c>
    </row>
    <row r="57" spans="1:15" hidden="1">
      <c r="A57">
        <f t="array" ref="A57">SUM((B57=$B$2:$B$127)*1)</f>
        <v>1</v>
      </c>
      <c r="B57" t="s">
        <v>289</v>
      </c>
      <c r="C57" t="s">
        <v>13</v>
      </c>
      <c r="D57" t="s">
        <v>283</v>
      </c>
      <c r="E57" t="s">
        <v>284</v>
      </c>
      <c r="F57" t="s">
        <v>290</v>
      </c>
      <c r="G57" t="s">
        <v>291</v>
      </c>
      <c r="H57" t="s">
        <v>71</v>
      </c>
      <c r="I57">
        <v>0</v>
      </c>
      <c r="J57">
        <v>0</v>
      </c>
      <c r="K57" t="s">
        <v>292</v>
      </c>
      <c r="L57" t="s">
        <v>293</v>
      </c>
      <c r="M57">
        <v>0</v>
      </c>
      <c r="N57">
        <f t="shared" si="0"/>
        <v>0</v>
      </c>
      <c r="O57" t="b">
        <f t="array" ref="O57">OR(B57=Hist!$A$1:$A$85)</f>
        <v>0</v>
      </c>
    </row>
    <row r="58" spans="1:15" hidden="1">
      <c r="A58">
        <f t="array" ref="A58">SUM((B58=$B$2:$B$127)*1)</f>
        <v>1</v>
      </c>
      <c r="B58" t="s">
        <v>294</v>
      </c>
      <c r="C58" t="s">
        <v>13</v>
      </c>
      <c r="D58" t="s">
        <v>295</v>
      </c>
      <c r="E58" t="s">
        <v>296</v>
      </c>
      <c r="F58" t="s">
        <v>297</v>
      </c>
      <c r="G58" t="s">
        <v>298</v>
      </c>
      <c r="H58" t="s">
        <v>299</v>
      </c>
      <c r="I58">
        <v>1</v>
      </c>
      <c r="J58">
        <v>0</v>
      </c>
      <c r="K58" t="s">
        <v>300</v>
      </c>
      <c r="L58" t="s">
        <v>301</v>
      </c>
      <c r="M58">
        <v>0</v>
      </c>
      <c r="N58">
        <f t="shared" si="0"/>
        <v>1</v>
      </c>
      <c r="O58" t="b">
        <f t="array" ref="O58">OR(B58=Hist!$A$1:$A$85)</f>
        <v>1</v>
      </c>
    </row>
    <row r="59" spans="1:15" hidden="1">
      <c r="A59">
        <f t="array" ref="A59">SUM((B59=$B$2:$B$127)*1)</f>
        <v>1</v>
      </c>
      <c r="B59" t="s">
        <v>302</v>
      </c>
      <c r="C59" t="s">
        <v>13</v>
      </c>
      <c r="D59" t="s">
        <v>295</v>
      </c>
      <c r="E59" t="s">
        <v>296</v>
      </c>
      <c r="F59" t="s">
        <v>303</v>
      </c>
      <c r="G59" t="s">
        <v>304</v>
      </c>
      <c r="H59" t="s">
        <v>305</v>
      </c>
      <c r="I59">
        <v>1</v>
      </c>
      <c r="J59">
        <v>0</v>
      </c>
      <c r="K59" t="s">
        <v>306</v>
      </c>
      <c r="L59" t="s">
        <v>307</v>
      </c>
      <c r="M59">
        <v>0</v>
      </c>
      <c r="N59">
        <f t="shared" si="0"/>
        <v>1</v>
      </c>
      <c r="O59" t="b">
        <f t="array" ref="O59">OR(B59=Hist!$A$1:$A$85)</f>
        <v>1</v>
      </c>
    </row>
    <row r="60" spans="1:15" hidden="1">
      <c r="A60">
        <f t="array" ref="A60">SUM((B60=$B$2:$B$127)*1)</f>
        <v>1</v>
      </c>
      <c r="B60" t="s">
        <v>308</v>
      </c>
      <c r="C60" t="s">
        <v>13</v>
      </c>
      <c r="D60" t="s">
        <v>295</v>
      </c>
      <c r="E60" t="s">
        <v>296</v>
      </c>
      <c r="F60" t="s">
        <v>309</v>
      </c>
      <c r="G60" t="s">
        <v>310</v>
      </c>
      <c r="H60" t="s">
        <v>305</v>
      </c>
      <c r="I60">
        <v>1</v>
      </c>
      <c r="J60">
        <v>0</v>
      </c>
      <c r="K60" t="s">
        <v>311</v>
      </c>
      <c r="L60" t="s">
        <v>312</v>
      </c>
      <c r="M60">
        <v>0</v>
      </c>
      <c r="N60">
        <f t="shared" si="0"/>
        <v>1</v>
      </c>
      <c r="O60" t="b">
        <f t="array" ref="O60">OR(B60=Hist!$A$1:$A$85)</f>
        <v>1</v>
      </c>
    </row>
    <row r="61" spans="1:15" hidden="1">
      <c r="A61">
        <f t="array" ref="A61">SUM((B61=$B$2:$B$127)*1)</f>
        <v>1</v>
      </c>
      <c r="B61" t="s">
        <v>313</v>
      </c>
      <c r="C61" t="s">
        <v>13</v>
      </c>
      <c r="D61" t="s">
        <v>295</v>
      </c>
      <c r="E61" t="s">
        <v>296</v>
      </c>
      <c r="F61" t="s">
        <v>314</v>
      </c>
      <c r="G61" t="s">
        <v>315</v>
      </c>
      <c r="H61" t="s">
        <v>316</v>
      </c>
      <c r="I61">
        <v>1</v>
      </c>
      <c r="J61">
        <v>0</v>
      </c>
      <c r="K61" t="s">
        <v>317</v>
      </c>
      <c r="L61" t="s">
        <v>318</v>
      </c>
      <c r="M61">
        <v>0</v>
      </c>
      <c r="N61">
        <f t="shared" si="0"/>
        <v>1</v>
      </c>
      <c r="O61" t="b">
        <f t="array" ref="O61">OR(B61=Hist!$A$1:$A$85)</f>
        <v>1</v>
      </c>
    </row>
    <row r="62" spans="1:15" hidden="1">
      <c r="A62">
        <f t="array" ref="A62">SUM((B62=$B$2:$B$127)*1)</f>
        <v>1</v>
      </c>
      <c r="B62" t="s">
        <v>319</v>
      </c>
      <c r="C62" t="s">
        <v>13</v>
      </c>
      <c r="D62" t="s">
        <v>295</v>
      </c>
      <c r="E62" t="s">
        <v>296</v>
      </c>
      <c r="F62" t="s">
        <v>320</v>
      </c>
      <c r="G62" t="s">
        <v>321</v>
      </c>
      <c r="H62" t="s">
        <v>305</v>
      </c>
      <c r="I62">
        <v>1</v>
      </c>
      <c r="J62">
        <v>0</v>
      </c>
      <c r="K62" t="s">
        <v>322</v>
      </c>
      <c r="L62" t="s">
        <v>323</v>
      </c>
      <c r="M62">
        <v>0</v>
      </c>
      <c r="N62">
        <f t="shared" si="0"/>
        <v>1</v>
      </c>
      <c r="O62" t="b">
        <f t="array" ref="O62">OR(B62=Hist!$A$1:$A$85)</f>
        <v>1</v>
      </c>
    </row>
    <row r="63" spans="1:15" hidden="1">
      <c r="A63">
        <f t="array" ref="A63">SUM((B63=$B$2:$B$127)*1)</f>
        <v>1</v>
      </c>
      <c r="B63" t="s">
        <v>324</v>
      </c>
      <c r="C63" t="s">
        <v>13</v>
      </c>
      <c r="D63" t="s">
        <v>295</v>
      </c>
      <c r="E63" t="s">
        <v>296</v>
      </c>
      <c r="F63" t="s">
        <v>325</v>
      </c>
      <c r="G63" t="s">
        <v>326</v>
      </c>
      <c r="H63" t="s">
        <v>305</v>
      </c>
      <c r="I63">
        <v>1</v>
      </c>
      <c r="J63">
        <v>0</v>
      </c>
      <c r="K63" t="s">
        <v>327</v>
      </c>
      <c r="L63" t="s">
        <v>328</v>
      </c>
      <c r="M63">
        <v>0</v>
      </c>
      <c r="N63">
        <f t="shared" si="0"/>
        <v>1</v>
      </c>
      <c r="O63" t="b">
        <f t="array" ref="O63">OR(B63=Hist!$A$1:$A$85)</f>
        <v>1</v>
      </c>
    </row>
    <row r="64" spans="1:15" hidden="1">
      <c r="A64">
        <f t="array" ref="A64">SUM((B64=$B$2:$B$127)*1)</f>
        <v>1</v>
      </c>
      <c r="B64" t="s">
        <v>329</v>
      </c>
      <c r="C64" t="s">
        <v>13</v>
      </c>
      <c r="D64" t="s">
        <v>295</v>
      </c>
      <c r="E64" t="s">
        <v>296</v>
      </c>
      <c r="F64" t="s">
        <v>330</v>
      </c>
      <c r="G64" t="s">
        <v>331</v>
      </c>
      <c r="H64" t="s">
        <v>305</v>
      </c>
      <c r="I64">
        <v>1</v>
      </c>
      <c r="J64">
        <v>0</v>
      </c>
      <c r="K64" t="s">
        <v>332</v>
      </c>
      <c r="L64" t="s">
        <v>333</v>
      </c>
      <c r="M64">
        <v>0</v>
      </c>
      <c r="N64">
        <f t="shared" si="0"/>
        <v>1</v>
      </c>
      <c r="O64" t="b">
        <f t="array" ref="O64">OR(B64=Hist!$A$1:$A$85)</f>
        <v>1</v>
      </c>
    </row>
    <row r="65" spans="1:15" hidden="1">
      <c r="A65">
        <f t="array" ref="A65">SUM((B65=$B$2:$B$127)*1)</f>
        <v>1</v>
      </c>
      <c r="B65" t="s">
        <v>334</v>
      </c>
      <c r="C65" t="s">
        <v>13</v>
      </c>
      <c r="D65" t="s">
        <v>295</v>
      </c>
      <c r="E65" t="s">
        <v>296</v>
      </c>
      <c r="F65" t="s">
        <v>335</v>
      </c>
      <c r="G65" t="s">
        <v>336</v>
      </c>
      <c r="H65" t="s">
        <v>337</v>
      </c>
      <c r="I65">
        <v>1</v>
      </c>
      <c r="J65">
        <v>0</v>
      </c>
      <c r="K65" t="s">
        <v>338</v>
      </c>
      <c r="L65" t="s">
        <v>339</v>
      </c>
      <c r="M65">
        <v>0</v>
      </c>
      <c r="N65">
        <f t="shared" si="0"/>
        <v>1</v>
      </c>
      <c r="O65" t="b">
        <f t="array" ref="O65">OR(B65=Hist!$A$1:$A$85)</f>
        <v>1</v>
      </c>
    </row>
    <row r="66" spans="1:15" hidden="1">
      <c r="A66">
        <f t="array" ref="A66">SUM((B66=$B$2:$B$127)*1)</f>
        <v>1</v>
      </c>
      <c r="B66" t="s">
        <v>340</v>
      </c>
      <c r="C66" t="s">
        <v>13</v>
      </c>
      <c r="D66" t="s">
        <v>295</v>
      </c>
      <c r="E66" t="s">
        <v>296</v>
      </c>
      <c r="F66" t="s">
        <v>341</v>
      </c>
      <c r="G66" t="s">
        <v>342</v>
      </c>
      <c r="H66" t="s">
        <v>316</v>
      </c>
      <c r="I66">
        <v>1</v>
      </c>
      <c r="J66">
        <v>0</v>
      </c>
      <c r="K66" t="s">
        <v>343</v>
      </c>
      <c r="L66" t="s">
        <v>344</v>
      </c>
      <c r="M66">
        <v>0</v>
      </c>
      <c r="N66">
        <f t="shared" si="0"/>
        <v>1</v>
      </c>
      <c r="O66" t="b">
        <f t="array" ref="O66">OR(B66=Hist!$A$1:$A$85)</f>
        <v>1</v>
      </c>
    </row>
    <row r="67" spans="1:15" hidden="1">
      <c r="A67">
        <f t="array" ref="A67">SUM((B67=$B$2:$B$127)*1)</f>
        <v>1</v>
      </c>
      <c r="B67" t="s">
        <v>345</v>
      </c>
      <c r="C67" t="s">
        <v>13</v>
      </c>
      <c r="D67" t="s">
        <v>295</v>
      </c>
      <c r="E67" t="s">
        <v>296</v>
      </c>
      <c r="F67" t="s">
        <v>346</v>
      </c>
      <c r="G67" t="s">
        <v>347</v>
      </c>
      <c r="H67" t="s">
        <v>305</v>
      </c>
      <c r="I67">
        <v>1</v>
      </c>
      <c r="J67">
        <v>0</v>
      </c>
      <c r="K67" t="s">
        <v>348</v>
      </c>
      <c r="L67" t="s">
        <v>349</v>
      </c>
      <c r="M67">
        <v>0</v>
      </c>
      <c r="N67">
        <f t="shared" ref="N67:N127" si="1">I67+J67</f>
        <v>1</v>
      </c>
      <c r="O67" t="b">
        <f t="array" ref="O67">OR(B67=Hist!$A$1:$A$85)</f>
        <v>1</v>
      </c>
    </row>
    <row r="68" spans="1:15" hidden="1">
      <c r="A68">
        <f t="array" ref="A68">SUM((B68=$B$2:$B$127)*1)</f>
        <v>1</v>
      </c>
      <c r="B68" t="s">
        <v>350</v>
      </c>
      <c r="C68" t="s">
        <v>13</v>
      </c>
      <c r="D68" t="s">
        <v>295</v>
      </c>
      <c r="E68" t="s">
        <v>296</v>
      </c>
      <c r="F68" t="s">
        <v>351</v>
      </c>
      <c r="G68" t="s">
        <v>352</v>
      </c>
      <c r="H68" t="s">
        <v>305</v>
      </c>
      <c r="I68">
        <v>1</v>
      </c>
      <c r="J68">
        <v>0</v>
      </c>
      <c r="K68" t="s">
        <v>353</v>
      </c>
      <c r="L68" t="s">
        <v>354</v>
      </c>
      <c r="M68">
        <v>0</v>
      </c>
      <c r="N68">
        <f t="shared" si="1"/>
        <v>1</v>
      </c>
      <c r="O68" t="b">
        <f t="array" ref="O68">OR(B68=Hist!$A$1:$A$85)</f>
        <v>1</v>
      </c>
    </row>
    <row r="69" spans="1:15" hidden="1">
      <c r="A69">
        <f t="array" ref="A69">SUM((B69=$B$2:$B$127)*1)</f>
        <v>1</v>
      </c>
      <c r="B69" t="s">
        <v>355</v>
      </c>
      <c r="C69" t="s">
        <v>13</v>
      </c>
      <c r="D69" t="s">
        <v>295</v>
      </c>
      <c r="E69" t="s">
        <v>296</v>
      </c>
      <c r="F69" t="s">
        <v>356</v>
      </c>
      <c r="G69" t="s">
        <v>357</v>
      </c>
      <c r="H69" t="s">
        <v>305</v>
      </c>
      <c r="I69">
        <v>1</v>
      </c>
      <c r="J69">
        <v>0</v>
      </c>
      <c r="K69" t="s">
        <v>358</v>
      </c>
      <c r="L69" t="s">
        <v>359</v>
      </c>
      <c r="M69">
        <v>0</v>
      </c>
      <c r="N69">
        <f t="shared" si="1"/>
        <v>1</v>
      </c>
      <c r="O69" t="b">
        <f t="array" ref="O69">OR(B69=Hist!$A$1:$A$85)</f>
        <v>1</v>
      </c>
    </row>
    <row r="70" spans="1:15" hidden="1">
      <c r="A70">
        <f t="array" ref="A70">SUM((B70=$B$2:$B$127)*1)</f>
        <v>1</v>
      </c>
      <c r="B70" t="s">
        <v>360</v>
      </c>
      <c r="C70" t="s">
        <v>13</v>
      </c>
      <c r="D70" t="s">
        <v>295</v>
      </c>
      <c r="E70" t="s">
        <v>296</v>
      </c>
      <c r="F70" t="s">
        <v>361</v>
      </c>
      <c r="G70" t="s">
        <v>362</v>
      </c>
      <c r="H70" t="s">
        <v>305</v>
      </c>
      <c r="I70">
        <v>1</v>
      </c>
      <c r="J70">
        <v>0</v>
      </c>
      <c r="K70" t="s">
        <v>363</v>
      </c>
      <c r="L70" t="s">
        <v>364</v>
      </c>
      <c r="M70">
        <v>0</v>
      </c>
      <c r="N70">
        <f t="shared" si="1"/>
        <v>1</v>
      </c>
      <c r="O70" t="b">
        <f t="array" ref="O70">OR(B70=Hist!$A$1:$A$85)</f>
        <v>1</v>
      </c>
    </row>
    <row r="71" spans="1:15" hidden="1">
      <c r="A71">
        <f t="array" ref="A71">SUM((B71=$B$2:$B$127)*1)</f>
        <v>1</v>
      </c>
      <c r="B71" t="s">
        <v>365</v>
      </c>
      <c r="C71" t="s">
        <v>13</v>
      </c>
      <c r="D71" t="s">
        <v>366</v>
      </c>
      <c r="E71" t="s">
        <v>367</v>
      </c>
      <c r="F71" t="s">
        <v>368</v>
      </c>
      <c r="G71" t="s">
        <v>369</v>
      </c>
      <c r="H71" t="s">
        <v>370</v>
      </c>
      <c r="I71">
        <v>1</v>
      </c>
      <c r="J71">
        <v>0</v>
      </c>
      <c r="K71" t="s">
        <v>371</v>
      </c>
      <c r="L71" t="s">
        <v>372</v>
      </c>
      <c r="M71">
        <v>0</v>
      </c>
      <c r="N71">
        <f t="shared" si="1"/>
        <v>1</v>
      </c>
      <c r="O71" t="b">
        <f t="array" ref="O71">OR(B71=Hist!$A$1:$A$85)</f>
        <v>1</v>
      </c>
    </row>
    <row r="72" spans="1:15" hidden="1">
      <c r="A72">
        <f t="array" ref="A72">SUM((B72=$B$2:$B$127)*1)</f>
        <v>1</v>
      </c>
      <c r="B72" t="s">
        <v>373</v>
      </c>
      <c r="C72" t="s">
        <v>13</v>
      </c>
      <c r="D72" t="s">
        <v>374</v>
      </c>
      <c r="E72" t="s">
        <v>375</v>
      </c>
      <c r="F72" t="s">
        <v>376</v>
      </c>
      <c r="G72" t="s">
        <v>377</v>
      </c>
      <c r="H72" t="s">
        <v>378</v>
      </c>
      <c r="I72">
        <v>1</v>
      </c>
      <c r="J72">
        <v>0</v>
      </c>
      <c r="K72" t="s">
        <v>379</v>
      </c>
      <c r="L72" t="s">
        <v>380</v>
      </c>
      <c r="M72">
        <v>0</v>
      </c>
      <c r="N72">
        <f t="shared" si="1"/>
        <v>1</v>
      </c>
      <c r="O72" t="b">
        <f t="array" ref="O72">OR(B72=Hist!$A$1:$A$85)</f>
        <v>1</v>
      </c>
    </row>
    <row r="73" spans="1:15" hidden="1">
      <c r="A73">
        <f t="array" ref="A73">SUM((B73=$B$2:$B$127)*1)</f>
        <v>1</v>
      </c>
      <c r="B73" t="s">
        <v>381</v>
      </c>
      <c r="C73" t="s">
        <v>13</v>
      </c>
      <c r="D73" t="s">
        <v>382</v>
      </c>
      <c r="E73" t="s">
        <v>383</v>
      </c>
      <c r="F73" t="s">
        <v>384</v>
      </c>
      <c r="G73" t="s">
        <v>385</v>
      </c>
      <c r="H73" t="s">
        <v>386</v>
      </c>
      <c r="I73">
        <v>0</v>
      </c>
      <c r="J73">
        <v>0</v>
      </c>
      <c r="K73" t="s">
        <v>387</v>
      </c>
      <c r="L73" t="s">
        <v>388</v>
      </c>
      <c r="M73">
        <v>0</v>
      </c>
      <c r="N73">
        <f t="shared" si="1"/>
        <v>0</v>
      </c>
      <c r="O73" t="b">
        <f t="array" ref="O73">OR(B73=Hist!$A$1:$A$85)</f>
        <v>0</v>
      </c>
    </row>
    <row r="74" spans="1:15" hidden="1">
      <c r="A74">
        <f t="array" ref="A74">SUM((B74=$B$2:$B$127)*1)</f>
        <v>1</v>
      </c>
      <c r="B74" t="s">
        <v>389</v>
      </c>
      <c r="C74" t="s">
        <v>42</v>
      </c>
      <c r="D74" t="s">
        <v>390</v>
      </c>
      <c r="E74" t="s">
        <v>391</v>
      </c>
      <c r="F74" t="s">
        <v>392</v>
      </c>
      <c r="G74" t="s">
        <v>17</v>
      </c>
      <c r="H74" t="s">
        <v>393</v>
      </c>
      <c r="I74">
        <v>1</v>
      </c>
      <c r="J74">
        <v>0</v>
      </c>
      <c r="K74" t="s">
        <v>394</v>
      </c>
      <c r="L74" t="s">
        <v>395</v>
      </c>
      <c r="M74">
        <v>0</v>
      </c>
      <c r="N74">
        <f t="shared" si="1"/>
        <v>1</v>
      </c>
      <c r="O74" t="b">
        <f t="array" ref="O74">OR(B74=Hist!$A$1:$A$85)</f>
        <v>1</v>
      </c>
    </row>
    <row r="75" spans="1:15" hidden="1">
      <c r="A75">
        <f t="array" ref="A75">SUM((B75=$B$2:$B$127)*1)</f>
        <v>1</v>
      </c>
      <c r="B75" t="s">
        <v>396</v>
      </c>
      <c r="C75" t="s">
        <v>42</v>
      </c>
      <c r="D75" t="s">
        <v>397</v>
      </c>
      <c r="E75" t="s">
        <v>398</v>
      </c>
      <c r="F75" t="s">
        <v>399</v>
      </c>
      <c r="G75" t="s">
        <v>400</v>
      </c>
      <c r="H75" t="s">
        <v>401</v>
      </c>
      <c r="I75">
        <v>1</v>
      </c>
      <c r="J75">
        <v>0</v>
      </c>
      <c r="K75" t="s">
        <v>402</v>
      </c>
      <c r="L75" t="s">
        <v>403</v>
      </c>
      <c r="M75">
        <v>0</v>
      </c>
      <c r="N75">
        <f t="shared" si="1"/>
        <v>1</v>
      </c>
      <c r="O75" t="b">
        <f t="array" ref="O75">OR(B75=Hist!$A$1:$A$85)</f>
        <v>1</v>
      </c>
    </row>
    <row r="76" spans="1:15" hidden="1">
      <c r="A76">
        <f t="array" ref="A76">SUM((B76=$B$2:$B$127)*1)</f>
        <v>1</v>
      </c>
      <c r="B76" t="s">
        <v>404</v>
      </c>
      <c r="C76" t="s">
        <v>42</v>
      </c>
      <c r="D76" t="s">
        <v>397</v>
      </c>
      <c r="E76" t="s">
        <v>398</v>
      </c>
      <c r="F76" t="s">
        <v>405</v>
      </c>
      <c r="G76" t="s">
        <v>406</v>
      </c>
      <c r="H76" t="s">
        <v>401</v>
      </c>
      <c r="I76">
        <v>1</v>
      </c>
      <c r="J76">
        <v>0</v>
      </c>
      <c r="K76" t="s">
        <v>407</v>
      </c>
      <c r="L76" t="s">
        <v>408</v>
      </c>
      <c r="M76">
        <v>0</v>
      </c>
      <c r="N76">
        <f t="shared" si="1"/>
        <v>1</v>
      </c>
      <c r="O76" t="b">
        <f t="array" ref="O76">OR(B76=Hist!$A$1:$A$85)</f>
        <v>1</v>
      </c>
    </row>
    <row r="77" spans="1:15" hidden="1">
      <c r="A77">
        <f t="array" ref="A77">SUM((B77=$B$2:$B$127)*1)</f>
        <v>1</v>
      </c>
      <c r="B77" t="s">
        <v>409</v>
      </c>
      <c r="C77" t="s">
        <v>42</v>
      </c>
      <c r="D77" t="s">
        <v>410</v>
      </c>
      <c r="E77" t="s">
        <v>410</v>
      </c>
      <c r="F77" t="s">
        <v>411</v>
      </c>
      <c r="G77" t="s">
        <v>412</v>
      </c>
      <c r="H77" t="s">
        <v>413</v>
      </c>
      <c r="I77">
        <v>1</v>
      </c>
      <c r="J77">
        <v>0</v>
      </c>
      <c r="K77" t="s">
        <v>414</v>
      </c>
      <c r="L77" t="s">
        <v>415</v>
      </c>
      <c r="M77">
        <v>0</v>
      </c>
      <c r="N77">
        <f t="shared" si="1"/>
        <v>1</v>
      </c>
      <c r="O77" t="b">
        <f t="array" ref="O77">OR(B77=Hist!$A$1:$A$85)</f>
        <v>1</v>
      </c>
    </row>
    <row r="78" spans="1:15" hidden="1">
      <c r="A78">
        <f t="array" ref="A78">SUM((B78=$B$2:$B$127)*1)</f>
        <v>1</v>
      </c>
      <c r="B78" t="s">
        <v>416</v>
      </c>
      <c r="C78" t="s">
        <v>13</v>
      </c>
      <c r="D78" t="s">
        <v>417</v>
      </c>
      <c r="E78" t="s">
        <v>418</v>
      </c>
      <c r="F78" t="s">
        <v>419</v>
      </c>
      <c r="G78" t="s">
        <v>420</v>
      </c>
      <c r="H78" t="s">
        <v>421</v>
      </c>
      <c r="I78">
        <v>1</v>
      </c>
      <c r="J78">
        <v>0</v>
      </c>
      <c r="K78" t="s">
        <v>422</v>
      </c>
      <c r="L78" t="s">
        <v>423</v>
      </c>
      <c r="M78">
        <v>0</v>
      </c>
      <c r="N78">
        <f t="shared" si="1"/>
        <v>1</v>
      </c>
      <c r="O78" t="b">
        <f t="array" ref="O78">OR(B78=Hist!$A$1:$A$85)</f>
        <v>1</v>
      </c>
    </row>
    <row r="79" spans="1:15" hidden="1">
      <c r="A79">
        <f t="array" ref="A79">SUM((B79=$B$2:$B$127)*1)</f>
        <v>1</v>
      </c>
      <c r="B79" t="s">
        <v>424</v>
      </c>
      <c r="C79" t="s">
        <v>42</v>
      </c>
      <c r="D79" t="s">
        <v>425</v>
      </c>
      <c r="E79" t="s">
        <v>426</v>
      </c>
      <c r="F79" t="s">
        <v>427</v>
      </c>
      <c r="G79" t="s">
        <v>428</v>
      </c>
      <c r="H79" t="s">
        <v>429</v>
      </c>
      <c r="I79">
        <v>1</v>
      </c>
      <c r="J79">
        <v>0</v>
      </c>
      <c r="K79" t="s">
        <v>430</v>
      </c>
      <c r="L79" t="s">
        <v>431</v>
      </c>
      <c r="M79">
        <v>0</v>
      </c>
      <c r="N79">
        <f t="shared" si="1"/>
        <v>1</v>
      </c>
      <c r="O79" t="b">
        <f t="array" ref="O79">OR(B79=Hist!$A$1:$A$85)</f>
        <v>1</v>
      </c>
    </row>
    <row r="80" spans="1:15" hidden="1">
      <c r="A80">
        <f t="array" ref="A80">SUM((B80=$B$2:$B$127)*1)</f>
        <v>1</v>
      </c>
      <c r="B80" t="s">
        <v>432</v>
      </c>
      <c r="C80" t="s">
        <v>42</v>
      </c>
      <c r="D80" t="s">
        <v>425</v>
      </c>
      <c r="E80" t="s">
        <v>426</v>
      </c>
      <c r="F80" t="s">
        <v>433</v>
      </c>
      <c r="G80" t="s">
        <v>434</v>
      </c>
      <c r="H80" t="s">
        <v>71</v>
      </c>
      <c r="I80">
        <v>1</v>
      </c>
      <c r="J80">
        <v>0</v>
      </c>
      <c r="K80" t="s">
        <v>435</v>
      </c>
      <c r="L80" t="s">
        <v>436</v>
      </c>
      <c r="M80">
        <v>0</v>
      </c>
      <c r="N80">
        <f t="shared" si="1"/>
        <v>1</v>
      </c>
      <c r="O80" t="b">
        <f t="array" ref="O80">OR(B80=Hist!$A$1:$A$85)</f>
        <v>1</v>
      </c>
    </row>
    <row r="81" spans="1:15" hidden="1">
      <c r="A81">
        <f t="array" ref="A81">SUM((B81=$B$2:$B$127)*1)</f>
        <v>1</v>
      </c>
      <c r="B81" t="s">
        <v>437</v>
      </c>
      <c r="C81" t="s">
        <v>42</v>
      </c>
      <c r="D81" t="s">
        <v>425</v>
      </c>
      <c r="E81" t="s">
        <v>426</v>
      </c>
      <c r="F81" t="s">
        <v>438</v>
      </c>
      <c r="G81" t="s">
        <v>439</v>
      </c>
      <c r="H81" t="s">
        <v>440</v>
      </c>
      <c r="I81">
        <v>1</v>
      </c>
      <c r="J81">
        <v>0</v>
      </c>
      <c r="K81" t="s">
        <v>441</v>
      </c>
      <c r="L81" t="s">
        <v>442</v>
      </c>
      <c r="M81">
        <v>0</v>
      </c>
      <c r="N81">
        <f t="shared" si="1"/>
        <v>1</v>
      </c>
      <c r="O81" t="b">
        <f t="array" ref="O81">OR(B81=Hist!$A$1:$A$85)</f>
        <v>1</v>
      </c>
    </row>
    <row r="82" spans="1:15" hidden="1">
      <c r="A82">
        <f t="array" ref="A82">SUM((B82=$B$2:$B$127)*1)</f>
        <v>1</v>
      </c>
      <c r="B82" t="s">
        <v>443</v>
      </c>
      <c r="C82" t="s">
        <v>42</v>
      </c>
      <c r="D82" t="s">
        <v>425</v>
      </c>
      <c r="E82" t="s">
        <v>426</v>
      </c>
      <c r="F82" t="s">
        <v>444</v>
      </c>
      <c r="G82" t="s">
        <v>445</v>
      </c>
      <c r="H82" t="s">
        <v>440</v>
      </c>
      <c r="I82">
        <v>1</v>
      </c>
      <c r="J82">
        <v>0</v>
      </c>
      <c r="K82" t="s">
        <v>446</v>
      </c>
      <c r="L82" t="s">
        <v>447</v>
      </c>
      <c r="M82">
        <v>0</v>
      </c>
      <c r="N82">
        <f t="shared" si="1"/>
        <v>1</v>
      </c>
      <c r="O82" t="b">
        <f t="array" ref="O82">OR(B82=Hist!$A$1:$A$85)</f>
        <v>1</v>
      </c>
    </row>
    <row r="83" spans="1:15" hidden="1">
      <c r="A83">
        <f t="array" ref="A83">SUM((B83=$B$2:$B$127)*1)</f>
        <v>1</v>
      </c>
      <c r="B83" t="s">
        <v>448</v>
      </c>
      <c r="C83" t="s">
        <v>13</v>
      </c>
      <c r="D83" t="s">
        <v>449</v>
      </c>
      <c r="E83" t="s">
        <v>450</v>
      </c>
      <c r="F83" t="s">
        <v>451</v>
      </c>
      <c r="G83" t="s">
        <v>452</v>
      </c>
      <c r="H83" t="s">
        <v>453</v>
      </c>
      <c r="I83">
        <v>1</v>
      </c>
      <c r="J83">
        <v>0</v>
      </c>
      <c r="K83" t="s">
        <v>454</v>
      </c>
      <c r="L83" t="s">
        <v>455</v>
      </c>
      <c r="M83">
        <v>0</v>
      </c>
      <c r="N83">
        <f t="shared" si="1"/>
        <v>1</v>
      </c>
      <c r="O83" t="b">
        <f t="array" ref="O83">OR(B83=Hist!$A$1:$A$85)</f>
        <v>1</v>
      </c>
    </row>
    <row r="84" spans="1:15" hidden="1">
      <c r="A84">
        <f t="array" ref="A84">SUM((B84=$B$2:$B$127)*1)</f>
        <v>1</v>
      </c>
      <c r="B84" t="s">
        <v>456</v>
      </c>
      <c r="C84" t="s">
        <v>13</v>
      </c>
      <c r="D84" t="s">
        <v>449</v>
      </c>
      <c r="E84" t="s">
        <v>450</v>
      </c>
      <c r="F84" t="s">
        <v>457</v>
      </c>
      <c r="G84" t="s">
        <v>452</v>
      </c>
      <c r="H84" t="s">
        <v>458</v>
      </c>
      <c r="I84">
        <v>1</v>
      </c>
      <c r="J84">
        <v>0</v>
      </c>
      <c r="K84" t="s">
        <v>459</v>
      </c>
      <c r="L84" t="s">
        <v>460</v>
      </c>
      <c r="M84">
        <v>0</v>
      </c>
      <c r="N84">
        <f t="shared" si="1"/>
        <v>1</v>
      </c>
      <c r="O84" t="b">
        <f t="array" ref="O84">OR(B84=Hist!$A$1:$A$85)</f>
        <v>1</v>
      </c>
    </row>
    <row r="85" spans="1:15" hidden="1">
      <c r="A85">
        <f t="array" ref="A85">SUM((B85=$B$2:$B$127)*1)</f>
        <v>1</v>
      </c>
      <c r="B85" t="s">
        <v>461</v>
      </c>
      <c r="C85" t="s">
        <v>13</v>
      </c>
      <c r="D85" t="s">
        <v>462</v>
      </c>
      <c r="E85" t="s">
        <v>463</v>
      </c>
      <c r="F85" t="s">
        <v>464</v>
      </c>
      <c r="G85" t="s">
        <v>465</v>
      </c>
      <c r="H85" t="s">
        <v>466</v>
      </c>
      <c r="I85">
        <v>0</v>
      </c>
      <c r="J85">
        <v>1</v>
      </c>
      <c r="K85" t="s">
        <v>467</v>
      </c>
      <c r="L85" t="s">
        <v>468</v>
      </c>
      <c r="M85">
        <v>0</v>
      </c>
      <c r="N85">
        <f t="shared" si="1"/>
        <v>1</v>
      </c>
      <c r="O85" t="b">
        <f t="array" ref="O85">OR(B85=Hist!$A$1:$A$85)</f>
        <v>1</v>
      </c>
    </row>
    <row r="86" spans="1:15" hidden="1">
      <c r="A86">
        <f t="array" ref="A86">SUM((B86=$B$2:$B$127)*1)</f>
        <v>1</v>
      </c>
      <c r="B86" t="s">
        <v>469</v>
      </c>
      <c r="C86" t="s">
        <v>13</v>
      </c>
      <c r="D86" t="s">
        <v>470</v>
      </c>
      <c r="E86" t="s">
        <v>471</v>
      </c>
      <c r="F86" t="s">
        <v>472</v>
      </c>
      <c r="G86" t="s">
        <v>473</v>
      </c>
      <c r="H86" t="s">
        <v>474</v>
      </c>
      <c r="I86">
        <v>0</v>
      </c>
      <c r="J86">
        <v>0</v>
      </c>
      <c r="K86" t="s">
        <v>475</v>
      </c>
      <c r="L86" t="s">
        <v>476</v>
      </c>
      <c r="M86">
        <v>0</v>
      </c>
      <c r="N86">
        <f t="shared" si="1"/>
        <v>0</v>
      </c>
      <c r="O86" t="b">
        <f t="array" ref="O86">OR(B86=Hist!$A$1:$A$85)</f>
        <v>0</v>
      </c>
    </row>
    <row r="87" spans="1:15" hidden="1">
      <c r="A87">
        <f t="array" ref="A87">SUM((B87=$B$2:$B$127)*1)</f>
        <v>1</v>
      </c>
      <c r="B87" t="s">
        <v>477</v>
      </c>
      <c r="C87" t="s">
        <v>13</v>
      </c>
      <c r="D87" t="s">
        <v>478</v>
      </c>
      <c r="E87" t="s">
        <v>479</v>
      </c>
      <c r="F87" t="s">
        <v>480</v>
      </c>
      <c r="G87" t="s">
        <v>481</v>
      </c>
      <c r="H87" t="s">
        <v>482</v>
      </c>
      <c r="I87">
        <v>0</v>
      </c>
      <c r="J87">
        <v>0</v>
      </c>
      <c r="K87" t="s">
        <v>483</v>
      </c>
      <c r="L87" t="s">
        <v>484</v>
      </c>
      <c r="M87">
        <v>0</v>
      </c>
      <c r="N87">
        <f t="shared" si="1"/>
        <v>0</v>
      </c>
      <c r="O87" t="b">
        <f t="array" ref="O87">OR(B87=Hist!$A$1:$A$85)</f>
        <v>0</v>
      </c>
    </row>
    <row r="88" spans="1:15" hidden="1">
      <c r="A88">
        <f t="array" ref="A88">SUM((B88=$B$2:$B$127)*1)</f>
        <v>1</v>
      </c>
      <c r="B88" t="s">
        <v>485</v>
      </c>
      <c r="C88" t="s">
        <v>13</v>
      </c>
      <c r="D88" t="s">
        <v>478</v>
      </c>
      <c r="E88" t="s">
        <v>479</v>
      </c>
      <c r="F88" t="s">
        <v>486</v>
      </c>
      <c r="G88" t="s">
        <v>487</v>
      </c>
      <c r="H88" t="s">
        <v>488</v>
      </c>
      <c r="I88">
        <v>0</v>
      </c>
      <c r="J88">
        <v>0</v>
      </c>
      <c r="K88" t="s">
        <v>489</v>
      </c>
      <c r="L88" t="s">
        <v>490</v>
      </c>
      <c r="M88">
        <v>0</v>
      </c>
      <c r="N88">
        <f t="shared" si="1"/>
        <v>0</v>
      </c>
      <c r="O88" t="b">
        <f t="array" ref="O88">OR(B88=Hist!$A$1:$A$85)</f>
        <v>0</v>
      </c>
    </row>
    <row r="89" spans="1:15" hidden="1">
      <c r="A89">
        <f t="array" ref="A89">SUM((B89=$B$2:$B$127)*1)</f>
        <v>1</v>
      </c>
      <c r="B89" t="s">
        <v>491</v>
      </c>
      <c r="C89" t="s">
        <v>42</v>
      </c>
      <c r="D89" t="s">
        <v>492</v>
      </c>
      <c r="E89" t="s">
        <v>493</v>
      </c>
      <c r="F89" t="s">
        <v>494</v>
      </c>
      <c r="G89" t="s">
        <v>495</v>
      </c>
      <c r="H89" t="s">
        <v>496</v>
      </c>
      <c r="I89">
        <v>1</v>
      </c>
      <c r="J89">
        <v>0</v>
      </c>
      <c r="K89" t="s">
        <v>497</v>
      </c>
      <c r="L89" t="s">
        <v>498</v>
      </c>
      <c r="M89">
        <v>0</v>
      </c>
      <c r="N89">
        <f t="shared" si="1"/>
        <v>1</v>
      </c>
      <c r="O89" t="b">
        <f t="array" ref="O89">OR(B89=Hist!$A$1:$A$85)</f>
        <v>1</v>
      </c>
    </row>
    <row r="90" spans="1:15" hidden="1">
      <c r="A90">
        <f t="array" ref="A90">SUM((B90=$B$2:$B$127)*1)</f>
        <v>1</v>
      </c>
      <c r="B90" t="s">
        <v>499</v>
      </c>
      <c r="C90" t="s">
        <v>13</v>
      </c>
      <c r="D90" t="s">
        <v>500</v>
      </c>
      <c r="E90" t="s">
        <v>501</v>
      </c>
      <c r="F90" t="s">
        <v>502</v>
      </c>
      <c r="G90" t="s">
        <v>503</v>
      </c>
      <c r="H90" t="s">
        <v>504</v>
      </c>
      <c r="I90">
        <v>0</v>
      </c>
      <c r="J90">
        <v>1</v>
      </c>
      <c r="K90" t="s">
        <v>505</v>
      </c>
      <c r="L90" t="s">
        <v>506</v>
      </c>
      <c r="M90">
        <v>0</v>
      </c>
      <c r="N90">
        <f t="shared" si="1"/>
        <v>1</v>
      </c>
      <c r="O90" t="b">
        <f t="array" ref="O90">OR(B90=Hist!$A$1:$A$85)</f>
        <v>1</v>
      </c>
    </row>
    <row r="91" spans="1:15" hidden="1">
      <c r="A91">
        <f t="array" ref="A91">SUM((B91=$B$2:$B$127)*1)</f>
        <v>1</v>
      </c>
      <c r="B91" t="s">
        <v>507</v>
      </c>
      <c r="C91" t="s">
        <v>13</v>
      </c>
      <c r="D91" t="s">
        <v>508</v>
      </c>
      <c r="E91" t="s">
        <v>509</v>
      </c>
      <c r="F91" t="s">
        <v>510</v>
      </c>
      <c r="G91" t="s">
        <v>23</v>
      </c>
      <c r="H91" t="s">
        <v>511</v>
      </c>
      <c r="I91">
        <v>0</v>
      </c>
      <c r="J91">
        <v>1</v>
      </c>
      <c r="K91" t="s">
        <v>512</v>
      </c>
      <c r="L91" t="s">
        <v>513</v>
      </c>
      <c r="M91">
        <v>0</v>
      </c>
      <c r="N91">
        <f t="shared" si="1"/>
        <v>1</v>
      </c>
      <c r="O91" t="b">
        <f t="array" ref="O91">OR(B91=Hist!$A$1:$A$85)</f>
        <v>1</v>
      </c>
    </row>
    <row r="92" spans="1:15" hidden="1">
      <c r="A92">
        <f t="array" ref="A92">SUM((B92=$B$2:$B$127)*1)</f>
        <v>1</v>
      </c>
      <c r="B92" t="s">
        <v>514</v>
      </c>
      <c r="C92" t="s">
        <v>13</v>
      </c>
      <c r="D92" t="s">
        <v>508</v>
      </c>
      <c r="E92" t="s">
        <v>509</v>
      </c>
      <c r="F92" t="s">
        <v>515</v>
      </c>
      <c r="G92" t="s">
        <v>516</v>
      </c>
      <c r="H92" t="s">
        <v>517</v>
      </c>
      <c r="I92">
        <v>0</v>
      </c>
      <c r="J92">
        <v>1</v>
      </c>
      <c r="K92" t="s">
        <v>518</v>
      </c>
      <c r="L92" t="s">
        <v>519</v>
      </c>
      <c r="M92">
        <v>0</v>
      </c>
      <c r="N92">
        <f t="shared" si="1"/>
        <v>1</v>
      </c>
      <c r="O92" t="b">
        <f t="array" ref="O92">OR(B92=Hist!$A$1:$A$85)</f>
        <v>1</v>
      </c>
    </row>
    <row r="93" spans="1:15" hidden="1">
      <c r="A93">
        <f t="array" ref="A93">SUM((B93=$B$2:$B$127)*1)</f>
        <v>1</v>
      </c>
      <c r="B93" t="s">
        <v>520</v>
      </c>
      <c r="C93" t="s">
        <v>13</v>
      </c>
      <c r="D93" t="s">
        <v>508</v>
      </c>
      <c r="E93" t="s">
        <v>509</v>
      </c>
      <c r="F93" t="s">
        <v>521</v>
      </c>
      <c r="G93" t="s">
        <v>522</v>
      </c>
      <c r="H93" t="s">
        <v>523</v>
      </c>
      <c r="I93">
        <v>0</v>
      </c>
      <c r="J93">
        <v>1</v>
      </c>
      <c r="K93" t="s">
        <v>524</v>
      </c>
      <c r="L93" t="s">
        <v>525</v>
      </c>
      <c r="M93">
        <v>0</v>
      </c>
      <c r="N93">
        <f t="shared" si="1"/>
        <v>1</v>
      </c>
      <c r="O93" t="b">
        <f t="array" ref="O93">OR(B93=Hist!$A$1:$A$85)</f>
        <v>1</v>
      </c>
    </row>
    <row r="94" spans="1:15" hidden="1">
      <c r="A94">
        <f t="array" ref="A94">SUM((B94=$B$2:$B$127)*1)</f>
        <v>1</v>
      </c>
      <c r="B94" t="s">
        <v>526</v>
      </c>
      <c r="C94" t="s">
        <v>13</v>
      </c>
      <c r="D94" t="s">
        <v>508</v>
      </c>
      <c r="E94" t="s">
        <v>509</v>
      </c>
      <c r="F94" t="s">
        <v>527</v>
      </c>
      <c r="G94" t="s">
        <v>336</v>
      </c>
      <c r="H94" t="s">
        <v>517</v>
      </c>
      <c r="I94">
        <v>0</v>
      </c>
      <c r="J94">
        <v>1</v>
      </c>
      <c r="K94" t="s">
        <v>528</v>
      </c>
      <c r="L94" t="s">
        <v>529</v>
      </c>
      <c r="M94">
        <v>0</v>
      </c>
      <c r="N94">
        <f t="shared" si="1"/>
        <v>1</v>
      </c>
      <c r="O94" t="b">
        <f t="array" ref="O94">OR(B94=Hist!$A$1:$A$85)</f>
        <v>1</v>
      </c>
    </row>
    <row r="95" spans="1:15" hidden="1">
      <c r="A95">
        <f t="array" ref="A95">SUM((B95=$B$2:$B$127)*1)</f>
        <v>1</v>
      </c>
      <c r="B95" t="s">
        <v>530</v>
      </c>
      <c r="C95" t="s">
        <v>42</v>
      </c>
      <c r="D95" t="s">
        <v>531</v>
      </c>
      <c r="E95" t="s">
        <v>532</v>
      </c>
      <c r="F95" t="s">
        <v>533</v>
      </c>
      <c r="G95" t="s">
        <v>534</v>
      </c>
      <c r="H95" t="s">
        <v>535</v>
      </c>
      <c r="I95">
        <v>1</v>
      </c>
      <c r="J95">
        <v>0</v>
      </c>
      <c r="K95" t="s">
        <v>536</v>
      </c>
      <c r="L95" t="s">
        <v>537</v>
      </c>
      <c r="M95">
        <v>0</v>
      </c>
      <c r="N95">
        <f t="shared" si="1"/>
        <v>1</v>
      </c>
      <c r="O95" t="b">
        <f t="array" ref="O95">OR(B95=Hist!$A$1:$A$85)</f>
        <v>1</v>
      </c>
    </row>
    <row r="96" spans="1:15" hidden="1">
      <c r="A96">
        <f t="array" ref="A96">SUM((B96=$B$2:$B$127)*1)</f>
        <v>1</v>
      </c>
      <c r="B96" t="s">
        <v>538</v>
      </c>
      <c r="C96" t="s">
        <v>42</v>
      </c>
      <c r="D96" t="s">
        <v>531</v>
      </c>
      <c r="E96" t="s">
        <v>532</v>
      </c>
      <c r="F96" t="s">
        <v>539</v>
      </c>
      <c r="G96" t="s">
        <v>540</v>
      </c>
      <c r="H96" t="s">
        <v>535</v>
      </c>
      <c r="I96">
        <v>1</v>
      </c>
      <c r="J96">
        <v>0</v>
      </c>
      <c r="K96" t="s">
        <v>541</v>
      </c>
      <c r="L96" t="s">
        <v>542</v>
      </c>
      <c r="M96">
        <v>0</v>
      </c>
      <c r="N96">
        <f t="shared" si="1"/>
        <v>1</v>
      </c>
      <c r="O96" t="b">
        <f t="array" ref="O96">OR(B96=Hist!$A$1:$A$85)</f>
        <v>1</v>
      </c>
    </row>
    <row r="97" spans="1:15" hidden="1">
      <c r="A97">
        <f t="array" ref="A97">SUM((B97=$B$2:$B$127)*1)</f>
        <v>1</v>
      </c>
      <c r="B97" t="s">
        <v>543</v>
      </c>
      <c r="C97" t="s">
        <v>42</v>
      </c>
      <c r="D97" t="s">
        <v>531</v>
      </c>
      <c r="E97" t="s">
        <v>532</v>
      </c>
      <c r="F97" t="s">
        <v>544</v>
      </c>
      <c r="G97" t="s">
        <v>545</v>
      </c>
      <c r="H97" t="s">
        <v>546</v>
      </c>
      <c r="I97">
        <v>1</v>
      </c>
      <c r="J97">
        <v>0</v>
      </c>
      <c r="K97" t="s">
        <v>547</v>
      </c>
      <c r="L97" t="s">
        <v>548</v>
      </c>
      <c r="M97">
        <v>0</v>
      </c>
      <c r="N97">
        <f t="shared" si="1"/>
        <v>1</v>
      </c>
      <c r="O97" t="b">
        <f t="array" ref="O97">OR(B97=Hist!$A$1:$A$85)</f>
        <v>1</v>
      </c>
    </row>
    <row r="98" spans="1:15" hidden="1">
      <c r="A98">
        <f t="array" ref="A98">SUM((B98=$B$2:$B$127)*1)</f>
        <v>1</v>
      </c>
      <c r="B98" t="s">
        <v>549</v>
      </c>
      <c r="C98" t="s">
        <v>42</v>
      </c>
      <c r="D98" t="s">
        <v>531</v>
      </c>
      <c r="E98" t="s">
        <v>532</v>
      </c>
      <c r="F98" t="s">
        <v>550</v>
      </c>
      <c r="G98" t="s">
        <v>551</v>
      </c>
      <c r="H98" t="s">
        <v>535</v>
      </c>
      <c r="I98">
        <v>1</v>
      </c>
      <c r="J98">
        <v>0</v>
      </c>
      <c r="K98" t="s">
        <v>552</v>
      </c>
      <c r="L98" t="s">
        <v>553</v>
      </c>
      <c r="M98">
        <v>0</v>
      </c>
      <c r="N98">
        <f t="shared" si="1"/>
        <v>1</v>
      </c>
      <c r="O98" t="b">
        <f t="array" ref="O98">OR(B98=Hist!$A$1:$A$85)</f>
        <v>1</v>
      </c>
    </row>
    <row r="99" spans="1:15" hidden="1">
      <c r="A99">
        <f t="array" ref="A99">SUM((B99=$B$2:$B$127)*1)</f>
        <v>1</v>
      </c>
      <c r="B99" t="s">
        <v>554</v>
      </c>
      <c r="C99" t="s">
        <v>42</v>
      </c>
      <c r="D99" t="s">
        <v>531</v>
      </c>
      <c r="E99" t="s">
        <v>532</v>
      </c>
      <c r="F99" t="s">
        <v>555</v>
      </c>
      <c r="G99" t="s">
        <v>540</v>
      </c>
      <c r="H99" t="s">
        <v>546</v>
      </c>
      <c r="I99">
        <v>1</v>
      </c>
      <c r="J99">
        <v>0</v>
      </c>
      <c r="K99" t="s">
        <v>556</v>
      </c>
      <c r="L99" t="s">
        <v>557</v>
      </c>
      <c r="M99">
        <v>0</v>
      </c>
      <c r="N99">
        <f t="shared" si="1"/>
        <v>1</v>
      </c>
      <c r="O99" t="b">
        <f t="array" ref="O99">OR(B99=Hist!$A$1:$A$85)</f>
        <v>1</v>
      </c>
    </row>
    <row r="100" spans="1:15" hidden="1">
      <c r="A100">
        <f t="array" ref="A100">SUM((B100=$B$2:$B$127)*1)</f>
        <v>1</v>
      </c>
      <c r="B100" t="s">
        <v>558</v>
      </c>
      <c r="C100" t="s">
        <v>42</v>
      </c>
      <c r="D100" t="s">
        <v>531</v>
      </c>
      <c r="E100" t="s">
        <v>532</v>
      </c>
      <c r="F100" t="s">
        <v>559</v>
      </c>
      <c r="G100" t="s">
        <v>560</v>
      </c>
      <c r="H100" t="s">
        <v>535</v>
      </c>
      <c r="I100">
        <v>1</v>
      </c>
      <c r="J100">
        <v>0</v>
      </c>
      <c r="K100" t="s">
        <v>561</v>
      </c>
      <c r="L100" t="s">
        <v>562</v>
      </c>
      <c r="M100">
        <v>0</v>
      </c>
      <c r="N100">
        <f t="shared" si="1"/>
        <v>1</v>
      </c>
      <c r="O100" t="b">
        <f t="array" ref="O100">OR(B100=Hist!$A$1:$A$85)</f>
        <v>1</v>
      </c>
    </row>
    <row r="101" spans="1:15" hidden="1">
      <c r="A101">
        <f t="array" ref="A101">SUM((B101=$B$2:$B$127)*1)</f>
        <v>1</v>
      </c>
      <c r="B101" t="s">
        <v>563</v>
      </c>
      <c r="C101" t="s">
        <v>42</v>
      </c>
      <c r="D101" t="s">
        <v>531</v>
      </c>
      <c r="E101" t="s">
        <v>532</v>
      </c>
      <c r="F101" t="s">
        <v>564</v>
      </c>
      <c r="G101" t="s">
        <v>565</v>
      </c>
      <c r="H101" t="s">
        <v>535</v>
      </c>
      <c r="I101">
        <v>1</v>
      </c>
      <c r="J101">
        <v>0</v>
      </c>
      <c r="K101" t="s">
        <v>566</v>
      </c>
      <c r="L101" t="s">
        <v>567</v>
      </c>
      <c r="M101">
        <v>0</v>
      </c>
      <c r="N101">
        <f t="shared" si="1"/>
        <v>1</v>
      </c>
      <c r="O101" t="b">
        <f t="array" ref="O101">OR(B101=Hist!$A$1:$A$85)</f>
        <v>1</v>
      </c>
    </row>
    <row r="102" spans="1:15" hidden="1">
      <c r="A102">
        <f t="array" ref="A102">SUM((B102=$B$2:$B$127)*1)</f>
        <v>1</v>
      </c>
      <c r="B102" t="s">
        <v>568</v>
      </c>
      <c r="C102" t="s">
        <v>42</v>
      </c>
      <c r="D102" t="s">
        <v>531</v>
      </c>
      <c r="E102" t="s">
        <v>532</v>
      </c>
      <c r="F102" t="s">
        <v>569</v>
      </c>
      <c r="G102" t="s">
        <v>570</v>
      </c>
      <c r="H102" t="s">
        <v>546</v>
      </c>
      <c r="I102">
        <v>1</v>
      </c>
      <c r="J102">
        <v>0</v>
      </c>
      <c r="K102" t="s">
        <v>571</v>
      </c>
      <c r="L102" t="s">
        <v>572</v>
      </c>
      <c r="M102">
        <v>0</v>
      </c>
      <c r="N102">
        <f t="shared" si="1"/>
        <v>1</v>
      </c>
      <c r="O102" t="b">
        <f t="array" ref="O102">OR(B102=Hist!$A$1:$A$85)</f>
        <v>1</v>
      </c>
    </row>
    <row r="103" spans="1:15" hidden="1">
      <c r="A103">
        <f t="array" ref="A103">SUM((B103=$B$2:$B$127)*1)</f>
        <v>1</v>
      </c>
      <c r="B103" t="s">
        <v>573</v>
      </c>
      <c r="C103" t="s">
        <v>42</v>
      </c>
      <c r="D103" t="s">
        <v>531</v>
      </c>
      <c r="E103" t="s">
        <v>532</v>
      </c>
      <c r="F103" t="s">
        <v>574</v>
      </c>
      <c r="G103" t="s">
        <v>336</v>
      </c>
      <c r="H103" t="s">
        <v>535</v>
      </c>
      <c r="I103">
        <v>1</v>
      </c>
      <c r="J103">
        <v>0</v>
      </c>
      <c r="K103" t="s">
        <v>575</v>
      </c>
      <c r="L103" t="s">
        <v>576</v>
      </c>
      <c r="M103">
        <v>0</v>
      </c>
      <c r="N103">
        <f t="shared" si="1"/>
        <v>1</v>
      </c>
      <c r="O103" t="b">
        <f t="array" ref="O103">OR(B103=Hist!$A$1:$A$85)</f>
        <v>1</v>
      </c>
    </row>
    <row r="104" spans="1:15" hidden="1">
      <c r="A104">
        <f t="array" ref="A104">SUM((B104=$B$2:$B$127)*1)</f>
        <v>1</v>
      </c>
      <c r="B104" t="s">
        <v>577</v>
      </c>
      <c r="C104" t="s">
        <v>42</v>
      </c>
      <c r="D104" t="s">
        <v>531</v>
      </c>
      <c r="E104" t="s">
        <v>532</v>
      </c>
      <c r="F104" t="s">
        <v>578</v>
      </c>
      <c r="G104" t="s">
        <v>570</v>
      </c>
      <c r="H104" t="s">
        <v>535</v>
      </c>
      <c r="I104">
        <v>1</v>
      </c>
      <c r="J104">
        <v>0</v>
      </c>
      <c r="K104" t="s">
        <v>579</v>
      </c>
      <c r="L104" t="s">
        <v>580</v>
      </c>
      <c r="M104">
        <v>0</v>
      </c>
      <c r="N104">
        <f t="shared" si="1"/>
        <v>1</v>
      </c>
      <c r="O104" t="b">
        <f t="array" ref="O104">OR(B104=Hist!$A$1:$A$85)</f>
        <v>1</v>
      </c>
    </row>
    <row r="105" spans="1:15" hidden="1">
      <c r="A105">
        <f t="array" ref="A105">SUM((B105=$B$2:$B$127)*1)</f>
        <v>1</v>
      </c>
      <c r="B105" t="s">
        <v>581</v>
      </c>
      <c r="C105" t="s">
        <v>42</v>
      </c>
      <c r="D105" t="s">
        <v>531</v>
      </c>
      <c r="E105" t="s">
        <v>532</v>
      </c>
      <c r="F105" t="s">
        <v>582</v>
      </c>
      <c r="G105" t="s">
        <v>583</v>
      </c>
      <c r="H105" t="s">
        <v>535</v>
      </c>
      <c r="I105">
        <v>1</v>
      </c>
      <c r="J105">
        <v>0</v>
      </c>
      <c r="K105" t="s">
        <v>584</v>
      </c>
      <c r="L105" t="s">
        <v>585</v>
      </c>
      <c r="M105">
        <v>0</v>
      </c>
      <c r="N105">
        <f t="shared" si="1"/>
        <v>1</v>
      </c>
      <c r="O105" t="b">
        <f t="array" ref="O105">OR(B105=Hist!$A$1:$A$85)</f>
        <v>1</v>
      </c>
    </row>
    <row r="106" spans="1:15" hidden="1">
      <c r="A106">
        <f t="array" ref="A106">SUM((B106=$B$2:$B$127)*1)</f>
        <v>1</v>
      </c>
      <c r="B106" t="s">
        <v>586</v>
      </c>
      <c r="C106" t="s">
        <v>42</v>
      </c>
      <c r="D106" t="s">
        <v>531</v>
      </c>
      <c r="E106" t="s">
        <v>532</v>
      </c>
      <c r="F106" t="s">
        <v>587</v>
      </c>
      <c r="G106" t="s">
        <v>516</v>
      </c>
      <c r="H106" t="s">
        <v>535</v>
      </c>
      <c r="I106">
        <v>1</v>
      </c>
      <c r="J106">
        <v>0</v>
      </c>
      <c r="K106" t="s">
        <v>588</v>
      </c>
      <c r="L106" t="s">
        <v>589</v>
      </c>
      <c r="M106">
        <v>0</v>
      </c>
      <c r="N106">
        <f t="shared" si="1"/>
        <v>1</v>
      </c>
      <c r="O106" t="b">
        <f t="array" ref="O106">OR(B106=Hist!$A$1:$A$85)</f>
        <v>1</v>
      </c>
    </row>
    <row r="107" spans="1:15" hidden="1">
      <c r="A107">
        <f t="array" ref="A107">SUM((B107=$B$2:$B$127)*1)</f>
        <v>1</v>
      </c>
      <c r="B107" t="s">
        <v>590</v>
      </c>
      <c r="C107" t="s">
        <v>42</v>
      </c>
      <c r="D107" t="s">
        <v>531</v>
      </c>
      <c r="E107" t="s">
        <v>532</v>
      </c>
      <c r="F107" t="s">
        <v>591</v>
      </c>
      <c r="G107" t="s">
        <v>516</v>
      </c>
      <c r="H107" t="s">
        <v>535</v>
      </c>
      <c r="I107">
        <v>1</v>
      </c>
      <c r="J107">
        <v>0</v>
      </c>
      <c r="K107" t="s">
        <v>592</v>
      </c>
      <c r="L107" t="s">
        <v>593</v>
      </c>
      <c r="M107">
        <v>0</v>
      </c>
      <c r="N107">
        <f t="shared" si="1"/>
        <v>1</v>
      </c>
      <c r="O107" t="b">
        <f t="array" ref="O107">OR(B107=Hist!$A$1:$A$85)</f>
        <v>1</v>
      </c>
    </row>
    <row r="108" spans="1:15" hidden="1">
      <c r="A108">
        <f t="array" ref="A108">SUM((B108=$B$2:$B$127)*1)</f>
        <v>1</v>
      </c>
      <c r="B108" t="s">
        <v>594</v>
      </c>
      <c r="C108" t="s">
        <v>42</v>
      </c>
      <c r="D108" t="s">
        <v>531</v>
      </c>
      <c r="E108" t="s">
        <v>532</v>
      </c>
      <c r="F108" t="s">
        <v>595</v>
      </c>
      <c r="G108" t="s">
        <v>583</v>
      </c>
      <c r="H108" t="s">
        <v>546</v>
      </c>
      <c r="I108">
        <v>1</v>
      </c>
      <c r="J108">
        <v>0</v>
      </c>
      <c r="K108" t="s">
        <v>596</v>
      </c>
      <c r="L108" t="s">
        <v>597</v>
      </c>
      <c r="M108">
        <v>0</v>
      </c>
      <c r="N108">
        <f t="shared" si="1"/>
        <v>1</v>
      </c>
      <c r="O108" t="b">
        <f t="array" ref="O108">OR(B108=Hist!$A$1:$A$85)</f>
        <v>1</v>
      </c>
    </row>
    <row r="109" spans="1:15" hidden="1">
      <c r="A109">
        <f t="array" ref="A109">SUM((B109=$B$2:$B$127)*1)</f>
        <v>1</v>
      </c>
      <c r="B109" t="s">
        <v>598</v>
      </c>
      <c r="C109" t="s">
        <v>42</v>
      </c>
      <c r="D109" t="s">
        <v>531</v>
      </c>
      <c r="E109" t="s">
        <v>532</v>
      </c>
      <c r="F109" t="s">
        <v>599</v>
      </c>
      <c r="G109" t="s">
        <v>600</v>
      </c>
      <c r="H109" t="s">
        <v>535</v>
      </c>
      <c r="I109">
        <v>1</v>
      </c>
      <c r="J109">
        <v>0</v>
      </c>
      <c r="K109" t="s">
        <v>601</v>
      </c>
      <c r="L109" t="s">
        <v>602</v>
      </c>
      <c r="M109">
        <v>0</v>
      </c>
      <c r="N109">
        <f t="shared" si="1"/>
        <v>1</v>
      </c>
      <c r="O109" t="b">
        <f t="array" ref="O109">OR(B109=Hist!$A$1:$A$85)</f>
        <v>1</v>
      </c>
    </row>
    <row r="110" spans="1:15" hidden="1">
      <c r="A110">
        <f t="array" ref="A110">SUM((B110=$B$2:$B$127)*1)</f>
        <v>1</v>
      </c>
      <c r="B110" t="s">
        <v>603</v>
      </c>
      <c r="C110" t="s">
        <v>42</v>
      </c>
      <c r="D110" t="s">
        <v>531</v>
      </c>
      <c r="E110" t="s">
        <v>532</v>
      </c>
      <c r="F110" t="s">
        <v>604</v>
      </c>
      <c r="G110" t="s">
        <v>565</v>
      </c>
      <c r="H110" t="s">
        <v>546</v>
      </c>
      <c r="I110">
        <v>1</v>
      </c>
      <c r="J110">
        <v>0</v>
      </c>
      <c r="K110" t="s">
        <v>605</v>
      </c>
      <c r="L110" t="s">
        <v>606</v>
      </c>
      <c r="M110">
        <v>0</v>
      </c>
      <c r="N110">
        <f t="shared" si="1"/>
        <v>1</v>
      </c>
      <c r="O110" t="b">
        <f t="array" ref="O110">OR(B110=Hist!$A$1:$A$85)</f>
        <v>1</v>
      </c>
    </row>
    <row r="111" spans="1:15" hidden="1">
      <c r="A111">
        <f t="array" ref="A111">SUM((B111=$B$2:$B$127)*1)</f>
        <v>1</v>
      </c>
      <c r="B111" t="s">
        <v>607</v>
      </c>
      <c r="C111" t="s">
        <v>42</v>
      </c>
      <c r="D111" t="s">
        <v>531</v>
      </c>
      <c r="E111" t="s">
        <v>532</v>
      </c>
      <c r="F111" t="s">
        <v>608</v>
      </c>
      <c r="G111" t="s">
        <v>540</v>
      </c>
      <c r="H111" t="s">
        <v>535</v>
      </c>
      <c r="I111">
        <v>1</v>
      </c>
      <c r="J111">
        <v>0</v>
      </c>
      <c r="K111" t="s">
        <v>609</v>
      </c>
      <c r="L111" t="s">
        <v>610</v>
      </c>
      <c r="M111">
        <v>0</v>
      </c>
      <c r="N111">
        <f t="shared" si="1"/>
        <v>1</v>
      </c>
      <c r="O111" t="b">
        <f t="array" ref="O111">OR(B111=Hist!$A$1:$A$85)</f>
        <v>1</v>
      </c>
    </row>
    <row r="112" spans="1:15" hidden="1">
      <c r="A112">
        <f t="array" ref="A112">SUM((B112=$B$2:$B$127)*1)</f>
        <v>1</v>
      </c>
      <c r="B112" t="s">
        <v>611</v>
      </c>
      <c r="C112" t="s">
        <v>42</v>
      </c>
      <c r="D112" t="s">
        <v>531</v>
      </c>
      <c r="E112" t="s">
        <v>532</v>
      </c>
      <c r="F112" t="s">
        <v>612</v>
      </c>
      <c r="G112" t="s">
        <v>600</v>
      </c>
      <c r="H112" t="s">
        <v>535</v>
      </c>
      <c r="I112">
        <v>1</v>
      </c>
      <c r="J112">
        <v>0</v>
      </c>
      <c r="K112" t="s">
        <v>613</v>
      </c>
      <c r="L112" t="s">
        <v>614</v>
      </c>
      <c r="M112">
        <v>0</v>
      </c>
      <c r="N112">
        <f t="shared" si="1"/>
        <v>1</v>
      </c>
      <c r="O112" t="b">
        <f t="array" ref="O112">OR(B112=Hist!$A$1:$A$85)</f>
        <v>1</v>
      </c>
    </row>
    <row r="113" spans="1:15" hidden="1">
      <c r="A113">
        <f t="array" ref="A113">SUM((B113=$B$2:$B$127)*1)</f>
        <v>1</v>
      </c>
      <c r="B113" t="s">
        <v>615</v>
      </c>
      <c r="C113" t="s">
        <v>42</v>
      </c>
      <c r="D113" t="s">
        <v>531</v>
      </c>
      <c r="E113" t="s">
        <v>532</v>
      </c>
      <c r="F113" t="s">
        <v>616</v>
      </c>
      <c r="G113" t="s">
        <v>583</v>
      </c>
      <c r="H113" t="s">
        <v>535</v>
      </c>
      <c r="I113">
        <v>1</v>
      </c>
      <c r="J113">
        <v>0</v>
      </c>
      <c r="K113" t="s">
        <v>617</v>
      </c>
      <c r="L113" t="s">
        <v>618</v>
      </c>
      <c r="M113">
        <v>0</v>
      </c>
      <c r="N113">
        <f t="shared" si="1"/>
        <v>1</v>
      </c>
      <c r="O113" t="b">
        <f t="array" ref="O113">OR(B113=Hist!$A$1:$A$85)</f>
        <v>1</v>
      </c>
    </row>
    <row r="114" spans="1:15" hidden="1">
      <c r="A114">
        <f t="array" ref="A114">SUM((B114=$B$2:$B$127)*1)</f>
        <v>1</v>
      </c>
      <c r="B114" t="s">
        <v>619</v>
      </c>
      <c r="C114" t="s">
        <v>42</v>
      </c>
      <c r="D114" t="s">
        <v>531</v>
      </c>
      <c r="E114" t="s">
        <v>532</v>
      </c>
      <c r="F114" t="s">
        <v>620</v>
      </c>
      <c r="G114" t="s">
        <v>545</v>
      </c>
      <c r="H114" t="s">
        <v>535</v>
      </c>
      <c r="I114">
        <v>1</v>
      </c>
      <c r="J114">
        <v>0</v>
      </c>
      <c r="K114" t="s">
        <v>621</v>
      </c>
      <c r="L114" t="s">
        <v>622</v>
      </c>
      <c r="M114">
        <v>0</v>
      </c>
      <c r="N114">
        <f t="shared" si="1"/>
        <v>1</v>
      </c>
      <c r="O114" t="b">
        <f t="array" ref="O114">OR(B114=Hist!$A$1:$A$85)</f>
        <v>1</v>
      </c>
    </row>
    <row r="115" spans="1:15" hidden="1">
      <c r="A115">
        <f t="array" ref="A115">SUM((B115=$B$2:$B$127)*1)</f>
        <v>1</v>
      </c>
      <c r="B115" t="s">
        <v>623</v>
      </c>
      <c r="C115" t="s">
        <v>42</v>
      </c>
      <c r="D115" t="s">
        <v>531</v>
      </c>
      <c r="E115" t="s">
        <v>532</v>
      </c>
      <c r="F115" t="s">
        <v>624</v>
      </c>
      <c r="G115" t="s">
        <v>336</v>
      </c>
      <c r="H115" t="s">
        <v>535</v>
      </c>
      <c r="I115">
        <v>1</v>
      </c>
      <c r="J115">
        <v>0</v>
      </c>
      <c r="K115" t="s">
        <v>625</v>
      </c>
      <c r="L115" t="s">
        <v>626</v>
      </c>
      <c r="M115">
        <v>0</v>
      </c>
      <c r="N115">
        <f t="shared" si="1"/>
        <v>1</v>
      </c>
      <c r="O115" t="b">
        <f t="array" ref="O115">OR(B115=Hist!$A$1:$A$85)</f>
        <v>1</v>
      </c>
    </row>
    <row r="116" spans="1:15" hidden="1">
      <c r="A116">
        <f t="array" ref="A116">SUM((B116=$B$2:$B$127)*1)</f>
        <v>1</v>
      </c>
      <c r="B116" t="s">
        <v>627</v>
      </c>
      <c r="C116" t="s">
        <v>42</v>
      </c>
      <c r="D116" t="s">
        <v>531</v>
      </c>
      <c r="E116" t="s">
        <v>532</v>
      </c>
      <c r="F116" t="s">
        <v>628</v>
      </c>
      <c r="G116" t="s">
        <v>545</v>
      </c>
      <c r="H116" t="s">
        <v>535</v>
      </c>
      <c r="I116">
        <v>1</v>
      </c>
      <c r="J116">
        <v>0</v>
      </c>
      <c r="K116" t="s">
        <v>629</v>
      </c>
      <c r="L116" t="s">
        <v>630</v>
      </c>
      <c r="M116">
        <v>0</v>
      </c>
      <c r="N116">
        <f t="shared" si="1"/>
        <v>1</v>
      </c>
      <c r="O116" t="b">
        <f t="array" ref="O116">OR(B116=Hist!$A$1:$A$85)</f>
        <v>1</v>
      </c>
    </row>
    <row r="117" spans="1:15" hidden="1">
      <c r="A117">
        <f t="array" ref="A117">SUM((B117=$B$2:$B$127)*1)</f>
        <v>1</v>
      </c>
      <c r="B117" t="s">
        <v>631</v>
      </c>
      <c r="C117" t="s">
        <v>42</v>
      </c>
      <c r="D117" t="s">
        <v>531</v>
      </c>
      <c r="E117" t="s">
        <v>532</v>
      </c>
      <c r="F117" t="s">
        <v>632</v>
      </c>
      <c r="G117" t="s">
        <v>633</v>
      </c>
      <c r="H117" t="s">
        <v>535</v>
      </c>
      <c r="I117">
        <v>1</v>
      </c>
      <c r="J117">
        <v>0</v>
      </c>
      <c r="K117" t="s">
        <v>634</v>
      </c>
      <c r="L117" t="s">
        <v>635</v>
      </c>
      <c r="M117">
        <v>0</v>
      </c>
      <c r="N117">
        <f t="shared" si="1"/>
        <v>1</v>
      </c>
      <c r="O117" t="b">
        <f t="array" ref="O117">OR(B117=Hist!$A$1:$A$85)</f>
        <v>1</v>
      </c>
    </row>
    <row r="118" spans="1:15" hidden="1">
      <c r="A118">
        <f t="array" ref="A118">SUM((B118=$B$2:$B$127)*1)</f>
        <v>1</v>
      </c>
      <c r="B118" t="s">
        <v>636</v>
      </c>
      <c r="C118" t="s">
        <v>42</v>
      </c>
      <c r="D118" t="s">
        <v>531</v>
      </c>
      <c r="E118" t="s">
        <v>532</v>
      </c>
      <c r="F118" t="s">
        <v>637</v>
      </c>
      <c r="G118" t="s">
        <v>638</v>
      </c>
      <c r="H118" t="s">
        <v>546</v>
      </c>
      <c r="I118">
        <v>1</v>
      </c>
      <c r="J118">
        <v>0</v>
      </c>
      <c r="K118" t="s">
        <v>639</v>
      </c>
      <c r="L118" t="s">
        <v>640</v>
      </c>
      <c r="M118">
        <v>0</v>
      </c>
      <c r="N118">
        <f t="shared" si="1"/>
        <v>1</v>
      </c>
      <c r="O118" t="b">
        <f t="array" ref="O118">OR(B118=Hist!$A$1:$A$85)</f>
        <v>1</v>
      </c>
    </row>
    <row r="119" spans="1:15" hidden="1">
      <c r="A119">
        <f t="array" ref="A119">SUM((B119=$B$2:$B$127)*1)</f>
        <v>1</v>
      </c>
      <c r="B119" t="s">
        <v>641</v>
      </c>
      <c r="C119" t="s">
        <v>13</v>
      </c>
      <c r="D119" t="s">
        <v>642</v>
      </c>
      <c r="E119" t="s">
        <v>643</v>
      </c>
      <c r="F119" t="s">
        <v>644</v>
      </c>
      <c r="G119" t="s">
        <v>645</v>
      </c>
      <c r="H119" t="s">
        <v>646</v>
      </c>
      <c r="I119">
        <v>1</v>
      </c>
      <c r="J119">
        <v>0</v>
      </c>
      <c r="K119" t="s">
        <v>647</v>
      </c>
      <c r="L119" t="s">
        <v>648</v>
      </c>
      <c r="M119">
        <v>0</v>
      </c>
      <c r="N119">
        <f t="shared" si="1"/>
        <v>1</v>
      </c>
      <c r="O119" t="b">
        <f t="array" ref="O119">OR(B119=Hist!$A$1:$A$85)</f>
        <v>1</v>
      </c>
    </row>
    <row r="120" spans="1:15" hidden="1">
      <c r="A120">
        <f t="array" ref="A120">SUM((B120=$B$2:$B$127)*1)</f>
        <v>1</v>
      </c>
      <c r="B120" t="s">
        <v>649</v>
      </c>
      <c r="C120" t="s">
        <v>42</v>
      </c>
      <c r="D120" t="s">
        <v>650</v>
      </c>
      <c r="E120" t="s">
        <v>651</v>
      </c>
      <c r="F120" t="s">
        <v>652</v>
      </c>
      <c r="G120" t="s">
        <v>653</v>
      </c>
      <c r="H120" t="s">
        <v>654</v>
      </c>
      <c r="I120">
        <v>1</v>
      </c>
      <c r="J120">
        <v>0</v>
      </c>
      <c r="K120" t="s">
        <v>655</v>
      </c>
      <c r="L120" t="s">
        <v>656</v>
      </c>
      <c r="M120">
        <v>0</v>
      </c>
      <c r="N120">
        <f t="shared" si="1"/>
        <v>1</v>
      </c>
      <c r="O120" t="b">
        <f t="array" ref="O120">OR(B120=Hist!$A$1:$A$85)</f>
        <v>1</v>
      </c>
    </row>
    <row r="121" spans="1:15" hidden="1">
      <c r="A121">
        <f t="array" ref="A121">SUM((B121=$B$2:$B$127)*1)</f>
        <v>1</v>
      </c>
      <c r="B121" t="s">
        <v>657</v>
      </c>
      <c r="C121" t="s">
        <v>42</v>
      </c>
      <c r="D121" t="s">
        <v>650</v>
      </c>
      <c r="E121" t="s">
        <v>651</v>
      </c>
      <c r="F121" t="s">
        <v>658</v>
      </c>
      <c r="G121" t="s">
        <v>659</v>
      </c>
      <c r="H121" t="s">
        <v>660</v>
      </c>
      <c r="I121">
        <v>1</v>
      </c>
      <c r="J121">
        <v>0</v>
      </c>
      <c r="K121" t="s">
        <v>661</v>
      </c>
      <c r="L121" t="s">
        <v>662</v>
      </c>
      <c r="M121">
        <v>0</v>
      </c>
      <c r="N121">
        <f t="shared" si="1"/>
        <v>1</v>
      </c>
      <c r="O121" t="b">
        <f t="array" ref="O121">OR(B121=Hist!$A$1:$A$85)</f>
        <v>1</v>
      </c>
    </row>
    <row r="122" spans="1:15" hidden="1">
      <c r="A122">
        <f t="array" ref="A122">SUM((B122=$B$2:$B$127)*1)</f>
        <v>1</v>
      </c>
      <c r="B122" t="s">
        <v>663</v>
      </c>
      <c r="C122" t="s">
        <v>42</v>
      </c>
      <c r="D122" t="s">
        <v>650</v>
      </c>
      <c r="E122" t="s">
        <v>651</v>
      </c>
      <c r="F122" t="s">
        <v>664</v>
      </c>
      <c r="G122" t="s">
        <v>665</v>
      </c>
      <c r="H122" t="s">
        <v>666</v>
      </c>
      <c r="I122">
        <v>1</v>
      </c>
      <c r="J122">
        <v>0</v>
      </c>
      <c r="K122" t="s">
        <v>667</v>
      </c>
      <c r="L122" t="s">
        <v>668</v>
      </c>
      <c r="M122">
        <v>0</v>
      </c>
      <c r="N122">
        <f t="shared" si="1"/>
        <v>1</v>
      </c>
      <c r="O122" t="b">
        <f t="array" ref="O122">OR(B122=Hist!$A$1:$A$85)</f>
        <v>1</v>
      </c>
    </row>
    <row r="123" spans="1:15" hidden="1">
      <c r="A123">
        <f t="array" ref="A123">SUM((B123=$B$2:$B$127)*1)</f>
        <v>1</v>
      </c>
      <c r="B123" t="s">
        <v>669</v>
      </c>
      <c r="C123" t="s">
        <v>42</v>
      </c>
      <c r="D123" t="s">
        <v>670</v>
      </c>
      <c r="E123" t="s">
        <v>671</v>
      </c>
      <c r="F123" t="s">
        <v>672</v>
      </c>
      <c r="G123" t="s">
        <v>673</v>
      </c>
      <c r="H123" t="s">
        <v>674</v>
      </c>
      <c r="I123">
        <v>1</v>
      </c>
      <c r="J123">
        <v>0</v>
      </c>
      <c r="K123" t="s">
        <v>675</v>
      </c>
      <c r="L123" t="s">
        <v>676</v>
      </c>
      <c r="M123">
        <v>0</v>
      </c>
      <c r="N123">
        <f t="shared" si="1"/>
        <v>1</v>
      </c>
      <c r="O123" t="b">
        <f t="array" ref="O123">OR(B123=Hist!$A$1:$A$85)</f>
        <v>1</v>
      </c>
    </row>
    <row r="124" spans="1:15" hidden="1">
      <c r="A124">
        <f t="array" ref="A124">SUM((B124=$B$2:$B$127)*1)</f>
        <v>1</v>
      </c>
      <c r="B124" t="s">
        <v>677</v>
      </c>
      <c r="C124" t="s">
        <v>13</v>
      </c>
      <c r="D124" t="s">
        <v>678</v>
      </c>
      <c r="E124" t="s">
        <v>679</v>
      </c>
      <c r="F124" t="s">
        <v>680</v>
      </c>
      <c r="G124" t="s">
        <v>681</v>
      </c>
      <c r="H124" t="s">
        <v>682</v>
      </c>
      <c r="I124">
        <v>1</v>
      </c>
      <c r="J124">
        <v>0</v>
      </c>
      <c r="K124" t="s">
        <v>683</v>
      </c>
      <c r="L124" t="s">
        <v>684</v>
      </c>
      <c r="M124">
        <v>0</v>
      </c>
      <c r="N124">
        <f t="shared" si="1"/>
        <v>1</v>
      </c>
      <c r="O124" t="b">
        <f t="array" ref="O124">OR(B124=Hist!$A$1:$A$85)</f>
        <v>1</v>
      </c>
    </row>
    <row r="125" spans="1:15" hidden="1">
      <c r="A125">
        <f t="array" ref="A125">SUM((B125=$B$2:$B$127)*1)</f>
        <v>1</v>
      </c>
      <c r="B125" t="s">
        <v>685</v>
      </c>
      <c r="C125" t="s">
        <v>13</v>
      </c>
      <c r="D125" t="s">
        <v>678</v>
      </c>
      <c r="E125" t="s">
        <v>679</v>
      </c>
      <c r="F125" t="s">
        <v>686</v>
      </c>
      <c r="G125" t="s">
        <v>687</v>
      </c>
      <c r="H125" t="s">
        <v>682</v>
      </c>
      <c r="I125">
        <v>1</v>
      </c>
      <c r="J125">
        <v>0</v>
      </c>
      <c r="K125" t="s">
        <v>688</v>
      </c>
      <c r="L125" t="s">
        <v>689</v>
      </c>
      <c r="M125">
        <v>0</v>
      </c>
      <c r="N125">
        <f t="shared" si="1"/>
        <v>1</v>
      </c>
      <c r="O125" t="b">
        <f t="array" ref="O125">OR(B125=Hist!$A$1:$A$85)</f>
        <v>1</v>
      </c>
    </row>
    <row r="126" spans="1:15" hidden="1">
      <c r="A126">
        <f t="array" ref="A126">SUM((B126=$B$2:$B$127)*1)</f>
        <v>1</v>
      </c>
      <c r="B126" t="s">
        <v>690</v>
      </c>
      <c r="C126" t="s">
        <v>42</v>
      </c>
      <c r="D126" t="s">
        <v>691</v>
      </c>
      <c r="E126" t="s">
        <v>692</v>
      </c>
      <c r="F126" t="s">
        <v>693</v>
      </c>
      <c r="G126" t="s">
        <v>694</v>
      </c>
      <c r="H126" t="s">
        <v>695</v>
      </c>
      <c r="I126">
        <v>1</v>
      </c>
      <c r="J126">
        <v>0</v>
      </c>
      <c r="K126" t="s">
        <v>696</v>
      </c>
      <c r="L126" t="s">
        <v>697</v>
      </c>
      <c r="M126">
        <v>0</v>
      </c>
      <c r="N126">
        <f t="shared" si="1"/>
        <v>1</v>
      </c>
      <c r="O126" t="b">
        <f t="array" ref="O126">OR(B126=Hist!$A$1:$A$85)</f>
        <v>1</v>
      </c>
    </row>
    <row r="127" spans="1:15" hidden="1">
      <c r="A127">
        <f t="array" ref="A127">SUM((B127=$B$2:$B$127)*1)</f>
        <v>1</v>
      </c>
      <c r="B127" t="s">
        <v>698</v>
      </c>
      <c r="C127" t="s">
        <v>42</v>
      </c>
      <c r="D127" t="s">
        <v>691</v>
      </c>
      <c r="E127" t="s">
        <v>692</v>
      </c>
      <c r="F127" t="s">
        <v>699</v>
      </c>
      <c r="G127" t="s">
        <v>700</v>
      </c>
      <c r="H127" t="s">
        <v>695</v>
      </c>
      <c r="I127">
        <v>1</v>
      </c>
      <c r="J127">
        <v>0</v>
      </c>
      <c r="K127" t="s">
        <v>701</v>
      </c>
      <c r="L127" t="s">
        <v>702</v>
      </c>
      <c r="M127">
        <v>0</v>
      </c>
      <c r="N127">
        <f t="shared" si="1"/>
        <v>1</v>
      </c>
      <c r="O127" t="b">
        <f t="array" ref="O127">OR(B127=Hist!$A$1:$A$85)</f>
        <v>1</v>
      </c>
    </row>
  </sheetData>
  <autoFilter ref="A1:O127">
    <filterColumn colId="0">
      <filters>
        <filter val="3"/>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5"/>
  <sheetViews>
    <sheetView topLeftCell="A55" workbookViewId="0">
      <selection sqref="A1:A85"/>
    </sheetView>
  </sheetViews>
  <sheetFormatPr defaultRowHeight="14.4"/>
  <sheetData>
    <row r="1" spans="1:1">
      <c r="A1" s="1" t="s">
        <v>0</v>
      </c>
    </row>
    <row r="2" spans="1:1">
      <c r="A2" t="s">
        <v>12</v>
      </c>
    </row>
    <row r="3" spans="1:1">
      <c r="A3" t="s">
        <v>21</v>
      </c>
    </row>
    <row r="4" spans="1:1">
      <c r="A4" t="s">
        <v>26</v>
      </c>
    </row>
    <row r="5" spans="1:1">
      <c r="A5" t="s">
        <v>31</v>
      </c>
    </row>
    <row r="6" spans="1:1">
      <c r="A6" t="s">
        <v>36</v>
      </c>
    </row>
    <row r="7" spans="1:1">
      <c r="A7" t="s">
        <v>41</v>
      </c>
    </row>
    <row r="8" spans="1:1">
      <c r="A8" t="s">
        <v>50</v>
      </c>
    </row>
    <row r="9" spans="1:1">
      <c r="A9" t="s">
        <v>55</v>
      </c>
    </row>
    <row r="10" spans="1:1">
      <c r="A10" t="s">
        <v>79</v>
      </c>
    </row>
    <row r="11" spans="1:1">
      <c r="A11" t="s">
        <v>87</v>
      </c>
    </row>
    <row r="12" spans="1:1">
      <c r="A12" t="s">
        <v>93</v>
      </c>
    </row>
    <row r="13" spans="1:1">
      <c r="A13" t="s">
        <v>114</v>
      </c>
    </row>
    <row r="14" spans="1:1">
      <c r="A14" t="s">
        <v>120</v>
      </c>
    </row>
    <row r="15" spans="1:1">
      <c r="A15" t="s">
        <v>229</v>
      </c>
    </row>
    <row r="16" spans="1:1">
      <c r="A16" t="s">
        <v>236</v>
      </c>
    </row>
    <row r="17" spans="1:1">
      <c r="A17" t="s">
        <v>243</v>
      </c>
    </row>
    <row r="18" spans="1:1">
      <c r="A18" t="s">
        <v>264</v>
      </c>
    </row>
    <row r="19" spans="1:1">
      <c r="A19" t="s">
        <v>271</v>
      </c>
    </row>
    <row r="20" spans="1:1">
      <c r="A20" t="s">
        <v>294</v>
      </c>
    </row>
    <row r="21" spans="1:1">
      <c r="A21" t="s">
        <v>302</v>
      </c>
    </row>
    <row r="22" spans="1:1">
      <c r="A22" t="s">
        <v>308</v>
      </c>
    </row>
    <row r="23" spans="1:1">
      <c r="A23" t="s">
        <v>313</v>
      </c>
    </row>
    <row r="24" spans="1:1">
      <c r="A24" t="s">
        <v>319</v>
      </c>
    </row>
    <row r="25" spans="1:1">
      <c r="A25" t="s">
        <v>324</v>
      </c>
    </row>
    <row r="26" spans="1:1">
      <c r="A26" t="s">
        <v>329</v>
      </c>
    </row>
    <row r="27" spans="1:1">
      <c r="A27" t="s">
        <v>334</v>
      </c>
    </row>
    <row r="28" spans="1:1">
      <c r="A28" t="s">
        <v>340</v>
      </c>
    </row>
    <row r="29" spans="1:1">
      <c r="A29" t="s">
        <v>345</v>
      </c>
    </row>
    <row r="30" spans="1:1">
      <c r="A30" t="s">
        <v>350</v>
      </c>
    </row>
    <row r="31" spans="1:1">
      <c r="A31" t="s">
        <v>355</v>
      </c>
    </row>
    <row r="32" spans="1:1">
      <c r="A32" t="s">
        <v>360</v>
      </c>
    </row>
    <row r="33" spans="1:1">
      <c r="A33" t="s">
        <v>365</v>
      </c>
    </row>
    <row r="34" spans="1:1">
      <c r="A34" t="s">
        <v>373</v>
      </c>
    </row>
    <row r="35" spans="1:1">
      <c r="A35" t="s">
        <v>389</v>
      </c>
    </row>
    <row r="36" spans="1:1">
      <c r="A36" t="s">
        <v>396</v>
      </c>
    </row>
    <row r="37" spans="1:1">
      <c r="A37" t="s">
        <v>404</v>
      </c>
    </row>
    <row r="38" spans="1:1">
      <c r="A38" t="s">
        <v>409</v>
      </c>
    </row>
    <row r="39" spans="1:1">
      <c r="A39" t="s">
        <v>416</v>
      </c>
    </row>
    <row r="40" spans="1:1">
      <c r="A40" t="s">
        <v>424</v>
      </c>
    </row>
    <row r="41" spans="1:1">
      <c r="A41" t="s">
        <v>432</v>
      </c>
    </row>
    <row r="42" spans="1:1">
      <c r="A42" t="s">
        <v>437</v>
      </c>
    </row>
    <row r="43" spans="1:1">
      <c r="A43" t="s">
        <v>443</v>
      </c>
    </row>
    <row r="44" spans="1:1">
      <c r="A44" t="s">
        <v>448</v>
      </c>
    </row>
    <row r="45" spans="1:1">
      <c r="A45" t="s">
        <v>456</v>
      </c>
    </row>
    <row r="46" spans="1:1">
      <c r="A46" t="s">
        <v>461</v>
      </c>
    </row>
    <row r="47" spans="1:1">
      <c r="A47" t="s">
        <v>491</v>
      </c>
    </row>
    <row r="48" spans="1:1">
      <c r="A48" t="s">
        <v>499</v>
      </c>
    </row>
    <row r="49" spans="1:1">
      <c r="A49" t="s">
        <v>507</v>
      </c>
    </row>
    <row r="50" spans="1:1">
      <c r="A50" t="s">
        <v>514</v>
      </c>
    </row>
    <row r="51" spans="1:1">
      <c r="A51" t="s">
        <v>520</v>
      </c>
    </row>
    <row r="52" spans="1:1">
      <c r="A52" t="s">
        <v>526</v>
      </c>
    </row>
    <row r="53" spans="1:1">
      <c r="A53" t="s">
        <v>530</v>
      </c>
    </row>
    <row r="54" spans="1:1">
      <c r="A54" t="s">
        <v>538</v>
      </c>
    </row>
    <row r="55" spans="1:1">
      <c r="A55" t="s">
        <v>543</v>
      </c>
    </row>
    <row r="56" spans="1:1">
      <c r="A56" t="s">
        <v>549</v>
      </c>
    </row>
    <row r="57" spans="1:1">
      <c r="A57" t="s">
        <v>554</v>
      </c>
    </row>
    <row r="58" spans="1:1">
      <c r="A58" t="s">
        <v>558</v>
      </c>
    </row>
    <row r="59" spans="1:1">
      <c r="A59" t="s">
        <v>563</v>
      </c>
    </row>
    <row r="60" spans="1:1">
      <c r="A60" t="s">
        <v>568</v>
      </c>
    </row>
    <row r="61" spans="1:1">
      <c r="A61" t="s">
        <v>573</v>
      </c>
    </row>
    <row r="62" spans="1:1">
      <c r="A62" t="s">
        <v>577</v>
      </c>
    </row>
    <row r="63" spans="1:1">
      <c r="A63" t="s">
        <v>581</v>
      </c>
    </row>
    <row r="64" spans="1:1">
      <c r="A64" t="s">
        <v>586</v>
      </c>
    </row>
    <row r="65" spans="1:1">
      <c r="A65" t="s">
        <v>590</v>
      </c>
    </row>
    <row r="66" spans="1:1">
      <c r="A66" t="s">
        <v>594</v>
      </c>
    </row>
    <row r="67" spans="1:1">
      <c r="A67" t="s">
        <v>598</v>
      </c>
    </row>
    <row r="68" spans="1:1">
      <c r="A68" t="s">
        <v>603</v>
      </c>
    </row>
    <row r="69" spans="1:1">
      <c r="A69" t="s">
        <v>607</v>
      </c>
    </row>
    <row r="70" spans="1:1">
      <c r="A70" t="s">
        <v>611</v>
      </c>
    </row>
    <row r="71" spans="1:1">
      <c r="A71" t="s">
        <v>615</v>
      </c>
    </row>
    <row r="72" spans="1:1">
      <c r="A72" t="s">
        <v>619</v>
      </c>
    </row>
    <row r="73" spans="1:1">
      <c r="A73" t="s">
        <v>623</v>
      </c>
    </row>
    <row r="74" spans="1:1">
      <c r="A74" t="s">
        <v>627</v>
      </c>
    </row>
    <row r="75" spans="1:1">
      <c r="A75" t="s">
        <v>631</v>
      </c>
    </row>
    <row r="76" spans="1:1">
      <c r="A76" t="s">
        <v>636</v>
      </c>
    </row>
    <row r="77" spans="1:1">
      <c r="A77" t="s">
        <v>641</v>
      </c>
    </row>
    <row r="78" spans="1:1">
      <c r="A78" t="s">
        <v>649</v>
      </c>
    </row>
    <row r="79" spans="1:1">
      <c r="A79" t="s">
        <v>657</v>
      </c>
    </row>
    <row r="80" spans="1:1">
      <c r="A80" t="s">
        <v>663</v>
      </c>
    </row>
    <row r="81" spans="1:1">
      <c r="A81" t="s">
        <v>669</v>
      </c>
    </row>
    <row r="82" spans="1:1">
      <c r="A82" t="s">
        <v>677</v>
      </c>
    </row>
    <row r="83" spans="1:1">
      <c r="A83" t="s">
        <v>685</v>
      </c>
    </row>
    <row r="84" spans="1:1">
      <c r="A84" t="s">
        <v>690</v>
      </c>
    </row>
    <row r="85" spans="1:1">
      <c r="A85" t="s">
        <v>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new_jobs</vt:lpstr>
      <vt:lpstr>Hist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JR Sousa</cp:lastModifiedBy>
  <dcterms:created xsi:type="dcterms:W3CDTF">2026-07-12T20:45:03Z</dcterms:created>
  <dcterms:modified xsi:type="dcterms:W3CDTF">2026-07-12T21:21:10Z</dcterms:modified>
</cp:coreProperties>
</file>